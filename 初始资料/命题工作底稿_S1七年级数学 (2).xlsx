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000" tabRatio="500" activeTab="2"/>
  </bookViews>
  <sheets>
    <sheet name="封面" sheetId="1" r:id="rId1"/>
    <sheet name="填报说明" sheetId="2" r:id="rId2"/>
    <sheet name="题目录入表" sheetId="3" r:id="rId3"/>
    <sheet name="考点依赖表" sheetId="4" r:id="rId4"/>
    <sheet name="方法卡" sheetId="5" r:id="rId5"/>
    <sheet name="质检清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<sst xmlns="http://schemas.openxmlformats.org/spreadsheetml/2006/main" count="1114" uniqueCount="668">
  <si>
    <t>命题工作底稿（题库建设执行模板）</t>
  </si>
  <si>
    <t>字段与 Codex_05 题库导入 Schema 一一对应 ｜ 冀教版2024 ｜ V1.0</t>
  </si>
  <si>
    <t>用途</t>
  </si>
  <si>
    <t>命题人逐题录入 → 终审教师复核 → 按本表导出JSON → 导入H5诊断应用</t>
  </si>
  <si>
    <t>铁律1</t>
  </si>
  <si>
    <t>本表列名与导入Schema字段一一对应，禁止增删改列名；新增需求记在'备注'列</t>
  </si>
  <si>
    <t>铁律2</t>
  </si>
  <si>
    <t>kp_code 必须已在【考点依赖表】中存在，否则导入必失败</t>
  </si>
  <si>
    <t>铁律3</t>
  </si>
  <si>
    <t>选择题每个错误选项必须填错因编码（A/B/C/D错因列），正确项留空</t>
  </si>
  <si>
    <t>铁律4</t>
  </si>
  <si>
    <t>填空/分步题必须填'答案规范'四列（接受形式/容差/含π/单位）</t>
  </si>
  <si>
    <t>铁律5</t>
  </si>
  <si>
    <t>改进建议禁止'加强练习/认真审题'式空话（导入端正则拦截）</t>
  </si>
  <si>
    <t>工作表索引</t>
  </si>
  <si>
    <t>填报说明</t>
  </si>
  <si>
    <t>逐字段填写规范与取值范围，命题前必读</t>
  </si>
  <si>
    <t>题目录入表</t>
  </si>
  <si>
    <t>逐题录入主表（含3条样例，正式录入前删除样例行）</t>
  </si>
  <si>
    <t>考点依赖表</t>
  </si>
  <si>
    <t>知识点编码与前置依赖（Phase 0产物，命题前冻结）</t>
  </si>
  <si>
    <t>方法卡</t>
  </si>
  <si>
    <t>错因-方法映射库（16张，人工审核入库）</t>
  </si>
  <si>
    <t>质检清单</t>
  </si>
  <si>
    <t>命题人自检/终审/导入前三道质检勾选表</t>
  </si>
  <si>
    <t>填报说明（命题前必读）</t>
  </si>
  <si>
    <t>每列填什么、怎么填、常见错误</t>
  </si>
  <si>
    <t>字段</t>
  </si>
  <si>
    <t>填写规范</t>
  </si>
  <si>
    <t>常见错误（禁止）</t>
  </si>
  <si>
    <t>day_tag 天次</t>
  </si>
  <si>
    <t>填1/2/3。Day1=L1-L2基础扫描（选择为主）、Day2=L2-L3应用（填空+中档分步）、Day3=L3-L4综合（压轴分步+新情境）</t>
  </si>
  <si>
    <t>把难题放进Day1</t>
  </si>
  <si>
    <t>seq_no 题序</t>
  </si>
  <si>
    <t>当日内从1连续编号，不得跳号；热身题固定为1、2号</t>
  </si>
  <si>
    <t>seq_no跳号或跨天重复</t>
  </si>
  <si>
    <t>q_type 题型</t>
  </si>
  <si>
    <t>下拉选择：choice单选 / fill填空 / step分步解答</t>
  </si>
  <si>
    <t>手工拼写错误（如Choice）</t>
  </si>
  <si>
    <t>stem 题干</t>
  </si>
  <si>
    <t>公式用KaTeX：行内$...$、独立$$...$$；图形题须含图形条件完整文字复述</t>
  </si>
  <si>
    <t>只写'如图'而无文字复述</t>
  </si>
  <si>
    <t>选项4组（文本+错因）</t>
  </si>
  <si>
    <t>仅choice填。每个错误选项的错因列必填EC编码（该选项由哪种错误产生）；正确项错因列留空</t>
  </si>
  <si>
    <t>错误选项错因留空或用'凑数错项'</t>
  </si>
  <si>
    <t>correct_answer</t>
  </si>
  <si>
    <t>choice填选项字母（A/B/C/D）；fill填标准答案</t>
  </si>
  <si>
    <t>选择题填了答案文本而非字母</t>
  </si>
  <si>
    <t>答案规范4列</t>
  </si>
  <si>
    <t>仅fill/step填：接受形式（fraction/decimal/integer/expression，多个用英文逗号）、容差（decimal时必填如0.01）、含π（TRUE/FALSE）、单位（无则留空）</t>
  </si>
  <si>
    <t>填空题不填规范→导入拒绝</t>
  </si>
  <si>
    <t>steps 分步定义</t>
  </si>
  <si>
    <t>仅step填，JSON文本：[{"seq":1,"prompt":"...","answer":"...","answer_spec":{...},"score":3,"ec_mapping":["EC-M1"]}]，2-3步</t>
  </si>
  <si>
    <t>各步score之和≠题目score</t>
  </si>
  <si>
    <t>kp_code 考点编码</t>
  </si>
  <si>
    <t>格式KP-章.节（如KP-05.3），须已在考点依赖表登记；小学前置用KP-P.前缀</t>
  </si>
  <si>
    <t>自造编码、用章节名代替编码</t>
  </si>
  <si>
    <t>literacy_codes 素养</t>
  </si>
  <si>
    <t>1-2个，英文逗号分隔：YS-01抽象/YS-02运算/YS-03几何直观/YS-04空间/YS-05推理/YS-06数据/YS-07模型/YS-08应用/YS-09创新</t>
  </si>
  <si>
    <t>填3个以上</t>
  </si>
  <si>
    <t>ec_mapping 预设错因</t>
  </si>
  <si>
    <t>1-3个EC编码，逗号分隔：K1概念/K2性质混淆/K3公式/K4前置缺口/M1运算/M2程序/M3方法迁移/M4表征转换/C1审题/C2定势/C3逻辑/C4元认知/N1书写/N2粗心/N3畏难/J1衔接</t>
  </si>
  <si>
    <t>错因与题目实际错误不符</t>
  </si>
  <si>
    <t>difficulty_est 预估难度</t>
  </si>
  <si>
    <t>0.30-0.90小数（越高越易）；结构按定位卡（衔接卷6:3:1）</t>
  </si>
  <si>
    <t>填百分数（如75）</t>
  </si>
  <si>
    <t>expected_time_sec</t>
  </si>
  <si>
    <t>预估作答秒数（行为埋点比对基准，必填）</t>
  </si>
  <si>
    <t>留空或填0</t>
  </si>
  <si>
    <t>pairing_id / parallel_group_id</t>
  </si>
  <si>
    <t>配对组：同组≥2题（不同题型/情境）；平行组：同组难度差≤0.05</t>
  </si>
  <si>
    <t>配对组只有1题</t>
  </si>
  <si>
    <t>improvement_tip 改进建议</t>
  </si>
  <si>
    <t>具体到行为的1条建议（'用三遍检查法重算本题'）</t>
  </si>
  <si>
    <t>空话：加强练习/认真审题</t>
  </si>
  <si>
    <t>variant_stem / variant_answer</t>
  </si>
  <si>
    <t>变式题：同考点同层级同错因、换情境数字</t>
  </si>
  <si>
    <t>变式题改了考点或难度</t>
  </si>
  <si>
    <t>day_tag</t>
  </si>
  <si>
    <t>seq_no</t>
  </si>
  <si>
    <t>q_type</t>
  </si>
  <si>
    <t>is_warmup</t>
  </si>
  <si>
    <t>stem 题干(KaTeX)</t>
  </si>
  <si>
    <t>image_url</t>
  </si>
  <si>
    <t>A文本</t>
  </si>
  <si>
    <t>A错因</t>
  </si>
  <si>
    <t>B文本</t>
  </si>
  <si>
    <t>B错因</t>
  </si>
  <si>
    <t>C文本</t>
  </si>
  <si>
    <t>C错因</t>
  </si>
  <si>
    <t>D文本</t>
  </si>
  <si>
    <t>D错因</t>
  </si>
  <si>
    <t>接受形式</t>
  </si>
  <si>
    <t>容差</t>
  </si>
  <si>
    <t>含π</t>
  </si>
  <si>
    <t>单位</t>
  </si>
  <si>
    <t>steps分步JSON</t>
  </si>
  <si>
    <t>score</t>
  </si>
  <si>
    <t>solution 解析</t>
  </si>
  <si>
    <t>kp_code</t>
  </si>
  <si>
    <t>kp_related</t>
  </si>
  <si>
    <t>cognitive_level</t>
  </si>
  <si>
    <t>literacy_codes</t>
  </si>
  <si>
    <t>ec_mapping</t>
  </si>
  <si>
    <t>difficulty_est</t>
  </si>
  <si>
    <t>pairing_id</t>
  </si>
  <si>
    <t>parallel_group_id</t>
  </si>
  <si>
    <t>variant_of_seq</t>
  </si>
  <si>
    <t>variant_stem 变式题</t>
  </si>
  <si>
    <t>variant_answer</t>
  </si>
  <si>
    <t>终审人</t>
  </si>
  <si>
    <t>终审状态</t>
  </si>
  <si>
    <t>备注</t>
  </si>
  <si>
    <t>choice</t>
  </si>
  <si>
    <t>$-3$ 的相反数是（ ）</t>
  </si>
  <si>
    <t>$-3$</t>
  </si>
  <si>
    <t>EC-K1</t>
  </si>
  <si>
    <t>$3$</t>
  </si>
  <si>
    <t>$\frac{1}{3}$</t>
  </si>
  <si>
    <t>EC-K2</t>
  </si>
  <si>
    <t>$-\frac{1}{3}$</t>
  </si>
  <si>
    <t>B</t>
  </si>
  <si>
    <t>只有符号不同的两个数互为相反数，-3的相反数是3，选B。</t>
  </si>
  <si>
    <t>KP-01.3</t>
  </si>
  <si>
    <t>L1</t>
  </si>
  <si>
    <t>YS-01</t>
  </si>
  <si>
    <t>用数轴标示-3与3的位置，直观理解相反数关于原点对称</t>
  </si>
  <si>
    <t>$-5$ 的相反数是（ ）</t>
  </si>
  <si>
    <t>5</t>
  </si>
  <si>
    <t>通过</t>
  </si>
  <si>
    <t>样例</t>
  </si>
  <si>
    <t>fill</t>
  </si>
  <si>
    <t>计算：$(-2)^3+4\times(-\frac{1}{2})=$ ______（结果保留整数形式）</t>
  </si>
  <si>
    <t>-10</t>
  </si>
  <si>
    <t>integer</t>
  </si>
  <si>
    <t>FALSE</t>
  </si>
  <si>
    <t>(-2)³=-8；4×(-1/2)=-2；-8+(-2)=-10。先乘方再乘法最后加法。</t>
  </si>
  <si>
    <t>KP-01.11</t>
  </si>
  <si>
    <t>L2</t>
  </si>
  <si>
    <t>YS-02</t>
  </si>
  <si>
    <t>EC-M1,EC-K2</t>
  </si>
  <si>
    <t>PAIR-YOULISHU-01</t>
  </si>
  <si>
    <t>PG-YOULISHU-01</t>
  </si>
  <si>
    <t>草稿纸上写完整三步：乘方→乘法→加法，每步一行</t>
  </si>
  <si>
    <t>计算：$(-3)^2-6\times\frac{1}{3}=$ ______</t>
  </si>
  <si>
    <t>7</t>
  </si>
  <si>
    <t>step</t>
  </si>
  <si>
    <t>某商店将进价40元的商品按标价八折出售仍获利20%，求标价。（分步作答）</t>
  </si>
  <si>
    <t>[{"seq":1,"prompt":"设标价x元，表示售价","answer":"0.8x","answer_spec":{"accept_forms":["expression"]},"score":3,"ec_mapping":["EC-M4"]},{"seq":2,"prompt":"列方程求解x","answer":"60","answer_spec":{"accept_forms":["integer"]},"score":5,"ec_mapping":["EC-M1"]}]</t>
  </si>
  <si>
    <t>售价0.8x，0.8x-40=40×20%=8，解得x=60。</t>
  </si>
  <si>
    <t>KP-05.4</t>
  </si>
  <si>
    <t>KP-04.1</t>
  </si>
  <si>
    <t>L3</t>
  </si>
  <si>
    <t>YS-07,YS-08</t>
  </si>
  <si>
    <t>EC-M3,EC-M4</t>
  </si>
  <si>
    <t>PAIR-FANGCHENG-02</t>
  </si>
  <si>
    <t>用'进价×(1+利润率)=售价'模型卡片重做本题并口述等量关系</t>
  </si>
  <si>
    <t>进价60元按九折出售获利20%，求标价（分步）</t>
  </si>
  <si>
    <t>80</t>
  </si>
  <si>
    <t>计算：$25\times4+36\div6=$（ ）</t>
  </si>
  <si>
    <t>$106$</t>
  </si>
  <si>
    <t>$16$</t>
  </si>
  <si>
    <t>$102$</t>
  </si>
  <si>
    <t>$116$</t>
  </si>
  <si>
    <t>A</t>
  </si>
  <si>
    <t>25×4=100，36÷6=6，100+6=106。先乘除后加减。</t>
  </si>
  <si>
    <t>KP-P.4</t>
  </si>
  <si>
    <t>——</t>
  </si>
  <si>
    <t>计算：$125\times8+49\div7=$（ ）</t>
  </si>
  <si>
    <t>1007</t>
  </si>
  <si>
    <t>待终审</t>
  </si>
  <si>
    <t>钟表上3时整，时针与分针所成的角是（ ）</t>
  </si>
  <si>
    <t>$60^{\circ}$</t>
  </si>
  <si>
    <t>$90^{\circ}$</t>
  </si>
  <si>
    <t>$120^{\circ}$</t>
  </si>
  <si>
    <t>$180^{\circ}$</t>
  </si>
  <si>
    <t>3时整，时针指向3、分针指向12，相隔3个大格，每个大格30°，共90°。</t>
  </si>
  <si>
    <t>KP-P.3</t>
  </si>
  <si>
    <t>YS-03</t>
  </si>
  <si>
    <t>钟表上6时整，时针与分针所成的角是（ ）</t>
  </si>
  <si>
    <t>180°</t>
  </si>
  <si>
    <t>雄安新区某建设工地上，塔吊将货物“上升3米”记作$+3$米，那么“下降5米”应记作（ ）</t>
  </si>
  <si>
    <t>$+5$米</t>
  </si>
  <si>
    <t>$-5$米</t>
  </si>
  <si>
    <t>$-2$米</t>
  </si>
  <si>
    <t>EC-C2</t>
  </si>
  <si>
    <t>$+2$米</t>
  </si>
  <si>
    <t>EC-C2,EC-N2</t>
  </si>
  <si>
    <t>“上升”与“下降”是一对具有相反意义的量。规定上升记为正，则下降记为负，下降5米记作-5米。故选B。</t>
  </si>
  <si>
    <t>KP-01.1</t>
  </si>
  <si>
    <t>YS-08</t>
  </si>
  <si>
    <t>EC-K1,EC-C2</t>
  </si>
  <si>
    <t>用温度计模型重讲正负数：让学生自己记录一周“零上/零下”温度并互相批改，每次记录必须口头说出“谁和谁是相反意义的量”。</t>
  </si>
  <si>
    <t>白洋淀某水文站将水位“高于警戒水位0.8米”记作$+0.8$米，则“低于警戒水位1.2米”记作（ ）A. $+1.2$米 B. $-1.2$米 C. $-0.4$米 D. $+0.4$米</t>
  </si>
  <si>
    <t>一条数轴上从左到右依次标注了$-4,-3,-2,-1,0,1$，相邻两数间距相等。一滴墨迹恰好盖住$-3$与$-2$正中间的一个点，则被盖住的点表示的数是（ ）</t>
  </si>
  <si>
    <t>$-3.5$</t>
  </si>
  <si>
    <t>EC-C1</t>
  </si>
  <si>
    <t>$-2.5$</t>
  </si>
  <si>
    <t>$-1.5$</t>
  </si>
  <si>
    <t>$2.5$</t>
  </si>
  <si>
    <t>EC-N2,EC-K1</t>
  </si>
  <si>
    <t>数轴上-3与-2正中间的点表示两数的平均位置，即-2.5。也可从-3向右走半个单位到-2.5。故选B。</t>
  </si>
  <si>
    <t>KP-01.2</t>
  </si>
  <si>
    <t>EC-K1,EC-C1,EC-N2</t>
  </si>
  <si>
    <t>画一根数轴，家长口述10个含负小数、负分数的数，学生逐一标点并自检，重点练“-3与-2之间”这类负区间定位，每天3分钟。</t>
  </si>
  <si>
    <t>数轴上$-1$与$0$正中间的点表示的数是（ ）A. $-1.5$ B. $-0.5$ C. $0.5$ D. $-2$</t>
  </si>
  <si>
    <t>$-|-5|$ 的值是（ ）</t>
  </si>
  <si>
    <t>$5$</t>
  </si>
  <si>
    <t>$-5$</t>
  </si>
  <si>
    <t>$5$或$-5$</t>
  </si>
  <si>
    <t>$\frac{1}{5}$</t>
  </si>
  <si>
    <t>先算绝对值：|-5|=5；再取外面的相反数：-|-5|=-5。故选B。易错点是绝对值符号外还有一个负号，运算顺序不能颠倒。</t>
  </si>
  <si>
    <t>EC-C1,EC-K1</t>
  </si>
  <si>
    <t>PAIR-JDZ-01</t>
  </si>
  <si>
    <t>建立“符号分级读题”习惯：遇多重符号先圈最外层符号、再算绝对值，动笔前默读运算顺序；用-|-3|、-(-3)、|-3|三式对比练习各做3道。</t>
  </si>
  <si>
    <t>$-|+3|$ 的值是（ ）A. $3$ B. $-3$ C. $3$或$-3$ D. $\frac{1}{3}$</t>
  </si>
  <si>
    <t>若$|a|=7$，且$a$是负数，则$a$的相反数是____。</t>
  </si>
  <si>
    <t>|a|=7说明a=7或a=-7；由“a是负数”得a=-7；-7的相反数是7。</t>
  </si>
  <si>
    <t>EC-K1,EC-C3</t>
  </si>
  <si>
    <t>教“三步写题法”：①由绝对值写出两种可能；②用条件划掉一个；③再回答题目最终所问。按此做5道同类题，每步都写在草稿区。</t>
  </si>
  <si>
    <t>若$|b|=4$，且$b$是正数，则$b$的相反数是____。</t>
  </si>
  <si>
    <t>-4</t>
  </si>
  <si>
    <t>比较$-\frac{2}{3}$与$-\frac{3}{4}$的大小，正确的是（ ）</t>
  </si>
  <si>
    <t>$-\frac{2}{3}&gt;-\frac{3}{4}$</t>
  </si>
  <si>
    <t>$-\frac{2}{3}&lt;-\frac{3}{4}$</t>
  </si>
  <si>
    <t>$-\frac{2}{3}=-\frac{3}{4}$</t>
  </si>
  <si>
    <t>EC-M1</t>
  </si>
  <si>
    <t>无法比较</t>
  </si>
  <si>
    <t>通分：-2/3=-8/12，-3/4=-9/12。两个负数比较，绝对值大的反而小：8/12&lt;9/12，所以-8/12&gt;-9/12，即-2/3&gt;-3/4。故选A。</t>
  </si>
  <si>
    <t>KP-01.4</t>
  </si>
  <si>
    <t>KP-P.1</t>
  </si>
  <si>
    <t>YS-05</t>
  </si>
  <si>
    <t>EC-C2,EC-M1,EC-K4</t>
  </si>
  <si>
    <t>数轴可视化训练：把-2/3、-3/4描在同一数轴上看谁在右边，再用3组负分数重复“描点—读序—写不等式”流程。</t>
  </si>
  <si>
    <t>比较大小：$-\frac{3}{5}$____$-\frac{5}{8}$（填“&gt;”“&lt;”或“=”）</t>
  </si>
  <si>
    <t>&gt;</t>
  </si>
  <si>
    <t>计算：$\frac{3}{4}-\frac{1}{2}+\frac{1}{8}=$（ ）</t>
  </si>
  <si>
    <t>$\frac{1}{8}$</t>
  </si>
  <si>
    <t>$\frac{3}{8}$</t>
  </si>
  <si>
    <t>$\frac{5}{8}$</t>
  </si>
  <si>
    <t>$\frac{1}{4}$</t>
  </si>
  <si>
    <t>通分（公分母8）：3/4=6/8，1/2=4/8，则6/8-4/8+1/8=3/8。故选B。</t>
  </si>
  <si>
    <t>EC-M1,EC-C1</t>
  </si>
  <si>
    <t>每天4道“三步走”分数混合运算：①先写公分母再动笔；②每算完一步划掉已处理的项；③结果约到最简。坚持一周治漏项和通分跳步。</t>
  </si>
  <si>
    <t>计算：$\frac{5}{6}-\frac{1}{3}+\frac{1}{4}=$（ ）A. $\frac{3}{4}$ B. $\frac{5}{12}$ C. $\frac{7}{12}$ D. $\frac{1}{2}$</t>
  </si>
  <si>
    <t>计算：$(-3)+5$的结果是（ ）</t>
  </si>
  <si>
    <t>$-8$</t>
  </si>
  <si>
    <t>$-2$</t>
  </si>
  <si>
    <t>$2$</t>
  </si>
  <si>
    <t>$8$</t>
  </si>
  <si>
    <t>C</t>
  </si>
  <si>
    <t>异号两数相加，取绝对值较大的加数的符号（+5取正号），并用较大的绝对值减去较小的绝对值：5-3=2。所以(-3)+5=2。故选C。</t>
  </si>
  <si>
    <t>KP-01.5</t>
  </si>
  <si>
    <t>EC-K2,EC-C2</t>
  </si>
  <si>
    <t>用“抵消法”讲异号加法：-3理解为欠3元，+5为有5元，还清后剩2元。用“欠/有”口述10道异号加法题再动笔，先建直觉再记法则。</t>
  </si>
  <si>
    <t>计算：$(-7)+4$的结果是（ ）A. $-11$ B. $-3$ C. $3$ D. $11$</t>
  </si>
  <si>
    <t>计算：$-7-(-4)=$____。</t>
  </si>
  <si>
    <t>-3</t>
  </si>
  <si>
    <t>减去一个数等于加上这个数的相反数：-7-(-4)=-7+4=-3。</t>
  </si>
  <si>
    <t>KP-01.6</t>
  </si>
  <si>
    <t>EC-K2,EC-M1</t>
  </si>
  <si>
    <t>口诀+对比练习：“减去负数，变加正数”。做6道对比题：-7-(-4)、-7-4、7-(-4)各2道，每题先把减法改写成加法再算，改写步骤必须写出来。</t>
  </si>
  <si>
    <t>计算：$-5-(-8)=$____。</t>
  </si>
  <si>
    <t>3</t>
  </si>
  <si>
    <t>计算：$(-3)\times(-4)$的结果是（ ）</t>
  </si>
  <si>
    <t>$-12$</t>
  </si>
  <si>
    <t>$12$</t>
  </si>
  <si>
    <t>$-7$</t>
  </si>
  <si>
    <t>$7$</t>
  </si>
  <si>
    <t>EC-C2,EC-M1</t>
  </si>
  <si>
    <t>两数相乘，同号得正：(-3)×(-4)=+(3×4)=12。故选B。</t>
  </si>
  <si>
    <t>KP-01.8</t>
  </si>
  <si>
    <t>做“符号法则对照卡”贴在草稿本首页：同号得正、异号得负。每道乘除题第一步只写结果正负号，第二步才写数值，连续练20题固化程序。</t>
  </si>
  <si>
    <t>计算：$(-5)\times(-6)$的结果是（ ）A. $-30$ B. $30$ C. $-11$ D. $11$</t>
  </si>
  <si>
    <t>计算：$(-12)\div(-3)=$____。</t>
  </si>
  <si>
    <t>4</t>
  </si>
  <si>
    <t>两数相除，同号得正：(-12)÷(-3)=+(12÷3)=4。</t>
  </si>
  <si>
    <t>KP-01.9</t>
  </si>
  <si>
    <t>乘除符号法则合并成一条记：“乘除一家，同号得正、异号得负”。做8道乘除混合判断题（只判断正负、不计算），30秒内完成，训练符号直觉。</t>
  </si>
  <si>
    <t>计算：$(-24)\div(-6)=$____。</t>
  </si>
  <si>
    <t>$(-2)^3$ 的值是（ ）</t>
  </si>
  <si>
    <t>$-6$</t>
  </si>
  <si>
    <t>$6$</t>
  </si>
  <si>
    <t>EC-K1,EC-K2</t>
  </si>
  <si>
    <t>(-2)³=(-2)×(-2)×(-2)=4×(-2)=-8。三个负因数相乘，负因数个数为奇数，结果为负。故选A。</t>
  </si>
  <si>
    <t>KP-01.10</t>
  </si>
  <si>
    <t>回到定义写展开式：做6道乘方题，每题先把aⁿ写成n个a连乘再计算，展开步骤不许省略；特别对比(-2)²与(-2)³、-2²与(-2)²两组。</t>
  </si>
  <si>
    <t>$(-3)^2$ 的值是（ ）A. $-9$ B. $9$ C. $-6$ D. $6$</t>
  </si>
  <si>
    <t>计算：$-3+\frac{5}{2}-(-\frac{1}{2})=$____。</t>
  </si>
  <si>
    <t>0</t>
  </si>
  <si>
    <t>原式=-3+5/2+1/2（减去负数变加正数）=-3+3=0。也可先算5/2+1/2=3，再与-3相加。</t>
  </si>
  <si>
    <t>EC-K2,EC-M1,EC-M2</t>
  </si>
  <si>
    <t>PAIR-HHYS-01</t>
  </si>
  <si>
    <t>强制“一行一步”书写：混合运算每题第一步只做一件事（统一转加法，或先合并同分母），用竖线隔开每一步，练10题。</t>
  </si>
  <si>
    <t>计算：$-5+\frac{7}{2}-(-\frac{3}{2})=$____。</t>
  </si>
  <si>
    <t>小明玩数字卡片游戏，规则是：把抽到的数先平方，再乘$(-2)$，最后加上$10$。若抽到的数是$-3$，则最后得到的结果是（ ）</t>
  </si>
  <si>
    <t>$28$</t>
  </si>
  <si>
    <t>$22$</t>
  </si>
  <si>
    <t>$-28$</t>
  </si>
  <si>
    <t>按规则逐步计算：(-3)²=9；9×(-2)=-18；-18+10=-8。故选A。</t>
  </si>
  <si>
    <t>EC-K1,EC-C1,EC-M1</t>
  </si>
  <si>
    <t>程序类题目用“翻译—执行”两栏草稿法：左栏把文字规则写成算式链条（x→x²→×(-2)→+10），右栏逐步代入计算，先翻译后计算。</t>
  </si>
  <si>
    <t>规则改为：把抽到的数先平方，再乘$(-1)$，最后加上$6$。抽到$-4$时结果是（ ）A. $-10$ B. $22$ C. $-2$ D. $10$</t>
  </si>
  <si>
    <t>小明今年$a$岁，爸爸比他大28岁，5年后爸爸的年龄是（ ）</t>
  </si>
  <si>
    <t>$(a+33)$岁</t>
  </si>
  <si>
    <t>$(a+23)$岁</t>
  </si>
  <si>
    <t>$(a+28)$岁</t>
  </si>
  <si>
    <t>$5a$岁</t>
  </si>
  <si>
    <t>爸爸今年(a+28)岁，5年后是(a+28+5)=(a+33)岁。故选A。</t>
  </si>
  <si>
    <t>KP-03.1</t>
  </si>
  <si>
    <t>KP-P.5</t>
  </si>
  <si>
    <t>做“具体数→字母”阶梯练习：先算“小明8岁、爸爸大28岁、5年后爸爸几岁”（41岁），再把8岁换成a，对照两种写法，让学生说出“a+33和41是同一回事的两种写法”。</t>
  </si>
  <si>
    <t>一支铅笔$b$元，一个笔记本比铅笔贵4元，买3个笔记本共需（ ）A. $3(b+4)$元 B. $(3b+4)$元 C. $3b$元 D. $(b+12)$元</t>
  </si>
  <si>
    <t>“比$x$的2倍小3的数”用代数式表示是（ ）</t>
  </si>
  <si>
    <t>$2x-3$</t>
  </si>
  <si>
    <t>$2(x-3)$</t>
  </si>
  <si>
    <t>EC-M4</t>
  </si>
  <si>
    <t>$3-2x$</t>
  </si>
  <si>
    <t>$2x+3$</t>
  </si>
  <si>
    <t>EC-C1,EC-N2</t>
  </si>
  <si>
    <t>“x的2倍”是2x，“比它小3”即减去3，得2x-3。故选A。注意与“比x小3的数的2倍”（即2(x-3)）区分：语言的运算顺序决定代数式结构。</t>
  </si>
  <si>
    <t>KP-03.2</t>
  </si>
  <si>
    <t>EC-M4,EC-C2,EC-C1</t>
  </si>
  <si>
    <t>用“划关键词断句法”：在“比”“的”“倍”“小/大”下划线，按“先算的部分先写”规则翻译；做8道对比题，其中4道故意只调换语序。</t>
  </si>
  <si>
    <t>“比$a$的4倍大1的数”用代数式表示是（ ）A. $4a+1$ B. $4(a+1)$ C. $1-4a$ D. $4a-1$</t>
  </si>
  <si>
    <t>写出单项式$-3x^2y$的系数与次数。</t>
  </si>
  <si>
    <t>[{"seq": 1, "prompt": "单项式$-3x^2y$的系数是？", "answer": "-3", "answer_spec": {"accept_forms": ["integer"]}, "score": 1, "ec_mapping": ["EC-C1"]}, {"seq": 2, "prompt": "单项式$-3x^2y$的次数是？", "answer": "3", "answer_spec": {"accept_forms": ["integer"]}, "score": 1, "ec_mapping": ["EC-K1"]}]</t>
  </si>
  <si>
    <t>系数是单项式前面的数字因数（含符号）：-3；次数是所有字母指数的和：x的指数2加y的指数1，共3。</t>
  </si>
  <si>
    <t>做“拆家式”标注练习：给5个单项式，用红笔圈数字因数、蓝笔圈每个字母的指数（指数1也要标出来），再写系数和次数。</t>
  </si>
  <si>
    <t>单项式$5ab^2$的系数是____，次数是____。</t>
  </si>
  <si>
    <t>系数5，次数3</t>
  </si>
  <si>
    <t>下列各组单项式中，是同类项的是（ ）</t>
  </si>
  <si>
    <t>$3x^2y$与$-2xy^2$</t>
  </si>
  <si>
    <t>$5ab$与$3a$</t>
  </si>
  <si>
    <t>$-4mn$与$2nm$</t>
  </si>
  <si>
    <t>$2x$与$2y$</t>
  </si>
  <si>
    <t>同类项要求“所含字母相同，并且相同字母的指数也相同”，与系数、字母顺序无关。C中mn与nm只是顺序不同，字母及指数完全一致。A中x、y指数分别不同，B字母不全同，D字母不同。故选C。</t>
  </si>
  <si>
    <t>KP-04.2</t>
  </si>
  <si>
    <t>EC-K1,EC-C1</t>
  </si>
  <si>
    <t>PAIR-TLX-01</t>
  </si>
  <si>
    <t>做“同类项找朋友”卡片游戏：10张卡片（含指数陷阱3张、顺序陷阱2张），分组配对并说出每张卡片“字母是什么、指数是几”，说出口头禅“字母相同、指数也相同”。</t>
  </si>
  <si>
    <t>下列是同类项的是（ ）A. $2a^2b$与$-3ba^2$ B. $x^2$与$2x$ C. $4ab$与$4bc$ D. $3m^2n$与$3mn^2$</t>
  </si>
  <si>
    <t>计算：$3m-2m-5m=$____。</t>
  </si>
  <si>
    <t>-4m</t>
  </si>
  <si>
    <t>expression</t>
  </si>
  <si>
    <t>合并同类项，系数相加：3-2-5=-4，字母部分m不变，结果为-4m。</t>
  </si>
  <si>
    <t>KP-01.7</t>
  </si>
  <si>
    <t>EC-M1,EC-K1,EC-M2</t>
  </si>
  <si>
    <t>合并同类项“两问自查”：①系数算对了吗（重算3-2-5）②字母还在吗。练6道含负系数合并题，每题做两问自查。</t>
  </si>
  <si>
    <t>计算：$4n-6n+3n=$____。</t>
  </si>
  <si>
    <t>n</t>
  </si>
  <si>
    <t>下列运用等式的性质进行变形，正确的是（ ）</t>
  </si>
  <si>
    <t>若$a=b$，则$a+2=b+3$</t>
  </si>
  <si>
    <t>若$a=b$，则$a-c=b-c$</t>
  </si>
  <si>
    <t>若$a=b$，则$2a=3b$</t>
  </si>
  <si>
    <t>若$a=b$，则$\frac{a}{c}=\frac{b}{c}$</t>
  </si>
  <si>
    <t>等式两边同时减去同一个数c，等式仍成立，B正确。A两边加的不是同一个数；C两边乘的不是同一个数；D两边同除以c必须c≠0才成立，选项未说明此条件，不严密。故选B。</t>
  </si>
  <si>
    <t>KP-05.1</t>
  </si>
  <si>
    <t>EC-K2,EC-K1</t>
  </si>
  <si>
    <t>用天平模型讲等式性质：左右两盘“同时、同样”地加减乘除才平衡；特别强调“除以的东西不能是0”，让学生自己举一个反例讲给家长听。</t>
  </si>
  <si>
    <t>下列变形正确的是（ ）A. 若$x=y$，则$x+5=y-5$ B. 若$x=y$，则$3x=3y$ C. 若$x=y$，则$\frac{x}{m}=\frac{y}{m}$ D. 若$x=y$，则$x^2=y+m$</t>
  </si>
  <si>
    <t>方程$2x+3=11$的解是（ ）</t>
  </si>
  <si>
    <t>$x=7$</t>
  </si>
  <si>
    <t>$x=4$</t>
  </si>
  <si>
    <t>$x=5$</t>
  </si>
  <si>
    <t>$x=14$</t>
  </si>
  <si>
    <t>EC-M2</t>
  </si>
  <si>
    <t>两边同时减3：2x=8；两边同时除以2：x=4。检验：2×4+3=11 ✓。故选B。</t>
  </si>
  <si>
    <t>KP-P.2</t>
  </si>
  <si>
    <t>EC-K2,EC-C2,EC-M2</t>
  </si>
  <si>
    <t>解方程每题必须“写依据”：每步变形后括号注明（两边同时减3）（两边同时除以2），写满10题再提速；做完回代检验。</t>
  </si>
  <si>
    <t>方程$3x-2=13$的解是（ ）A. $x=5$ B. $x=\frac{11}{3}$ C. $x=4$ D. $x=15$</t>
  </si>
  <si>
    <t>计算：$-\frac{1}{2}+\frac{3}{4}-(-\frac{1}{4})=$____。</t>
  </si>
  <si>
    <t>1/2</t>
  </si>
  <si>
    <t>fraction</t>
  </si>
  <si>
    <t>原式=-1/2+3/4+1/4（减去负数变加正数）=-2/4+3/4+1/4=2/4=1/2。</t>
  </si>
  <si>
    <t>EC-K2,EC-M1,EC-C1</t>
  </si>
  <si>
    <t>分数加减混合统一用“先通分、再合并、最后约分”三步流程，每步一行；特别练含“-(-分数)”结构的题5道。</t>
  </si>
  <si>
    <t>计算：$-\frac{1}{3}+\frac{5}{6}-(-\frac{1}{6})=$____。</t>
  </si>
  <si>
    <t>2/3</t>
  </si>
  <si>
    <t>数轴上点A表示的数是$-3$，点B表示的数是$2$，则A、B两点间的距离是（ ）</t>
  </si>
  <si>
    <t>$1$</t>
  </si>
  <si>
    <t>数轴上两点间的距离等于两数之差的绝对值：|2-(-3)|=|2+3|=5。也可以数格子：从-3到0是3个单位，从0到2是2个单位，共5个单位。故选B。</t>
  </si>
  <si>
    <t>EC-C2,EC-K1,EC-M1</t>
  </si>
  <si>
    <t>画数轴数格子：做5道异号两点距离题，先画图标出两点、数出格子数，再用|a-b|公式核对，两种方法结果必须一致才算完成。</t>
  </si>
  <si>
    <t>数轴上点M表示$-1$，点N表示$4$，M、N两点间的距离是（ ）A. $3$ B. $5$ C. $-5$ D. $4$</t>
  </si>
  <si>
    <t>计算：$\frac{5}{6}\times(-\frac{3}{10})+\frac{1}{4}=$____。</t>
  </si>
  <si>
    <t>先算乘法：5/6×(-3/10)=-15/60=-1/4（异号得负）；再算加法：-1/4+1/4=0。</t>
  </si>
  <si>
    <t>混合运算“先圈乘除、再算加减”：动笔前用铅笔把乘法部分圈出来先算；做6道“分数乘法+加减”混合题，每题第一步必须是乘法。</t>
  </si>
  <si>
    <t>计算：$\frac{3}{4}\times(-\frac{2}{9})+\frac{1}{6}=$____。</t>
  </si>
  <si>
    <t>如图，直线上依次有A、B、C三个点，以其中任意两点为端点的线段共有（ ）</t>
  </si>
  <si>
    <t>$2$条</t>
  </si>
  <si>
    <t>EC-C3</t>
  </si>
  <si>
    <t>$3$条</t>
  </si>
  <si>
    <t>$4$条</t>
  </si>
  <si>
    <t>$6$条</t>
  </si>
  <si>
    <t>按左端点分类数：以A为左端点的有AB、AC两条，以B为左端点的有BC一条，共2+1=3条。故选B。</t>
  </si>
  <si>
    <t>KP-02.2</t>
  </si>
  <si>
    <t>EC-C3,EC-K1</t>
  </si>
  <si>
    <t>教“固定左端点”数线段法：从左到右，每个点当一次左端点，数完划掉；用4个点的图再练2道（答案6条），形成程序。</t>
  </si>
  <si>
    <t>直线上依次有A、B、C、D四个点，线段共有（ ）A. $4$条 B. $5$条 C. $6$条 D. $8$条</t>
  </si>
  <si>
    <t>已知$1^{\circ}=60'$，把$18^{\circ}30'$换算成以度为单位：$18^{\circ}30'=$____$^{\circ}$（用小数表示）。</t>
  </si>
  <si>
    <t>18.5</t>
  </si>
  <si>
    <t>decimal</t>
  </si>
  <si>
    <t>30′=30/60°=0.5°，所以18°30′=18.5°。</t>
  </si>
  <si>
    <t>KP-02.5</t>
  </si>
  <si>
    <t>和时间换算对照记：1°=60′就像1小时=60分钟。做4道互化题（2道度→度分、2道度分→度），每题先写“÷60”或“×60”再算。</t>
  </si>
  <si>
    <t>把$25^{\circ}36'$换算成以度为单位：____$^{\circ}$。</t>
  </si>
  <si>
    <t>25.6</t>
  </si>
  <si>
    <t>一辆货车从石家庄运送货物到白洋淀，下表记录了行驶时间$x$（小时）与油箱剩余油量$y$（升）的部分数据：$x=0$时$y=45$；$x=1$时$y=39$；$x=2$时$y=33$；$x=3$时$y=27$。则$y$与$x$之间的关系式是（ ）</t>
  </si>
  <si>
    <t>$y=45-6x$</t>
  </si>
  <si>
    <t>$y=45+6x$</t>
  </si>
  <si>
    <t>$y=6x$</t>
  </si>
  <si>
    <t>EC-M3</t>
  </si>
  <si>
    <t>$y=45-4x$</t>
  </si>
  <si>
    <t>每过1小时油量减少45-39=6升，初始油量为45升，所以y=45-6x。检验：x=3时y=45-18=27 ✓。故选A。</t>
  </si>
  <si>
    <t>KP-03.3</t>
  </si>
  <si>
    <t>EC-M3,EC-C1,EC-M1</t>
  </si>
  <si>
    <t>读表建模“两句口诀”：先问“开头是多少”（初始量），再问“每次变多少”（变化率），两句话合成一个式子；用3组表格数据练写关系式并回代一组数据检验。</t>
  </si>
  <si>
    <t>某停车场收费标准如下表：停车$x$小时收费$y$元：$x=1$时$y=5$；$x=2$时$y=8$；$x=3$时$y=11$。则关系式是（ ）A. $y=3x$ B. $y=3x+2$ C. $y=5x$ D. $y=2x+3$</t>
  </si>
  <si>
    <t>当$x=-2$时，代数式$3x+1$的值是____。</t>
  </si>
  <si>
    <t>-5</t>
  </si>
  <si>
    <t>把x=-2代入：3×(-2)+1=-6+1=-5。</t>
  </si>
  <si>
    <t>KP-03.4</t>
  </si>
  <si>
    <t>PAIR-QIUZHI-01</t>
  </si>
  <si>
    <t>负数代入“带括号”规则：把x=-2代入时，所有x的位置都写成(-2)再计算，练5道含负代入的求值题，括号不许省。</t>
  </si>
  <si>
    <t>当$a=-3$时，代数式$2a+5$的值是____。</t>
  </si>
  <si>
    <t>-1</t>
  </si>
  <si>
    <t>化简$a-(2a-3)$的结果是（ ）</t>
  </si>
  <si>
    <t>$-a-3$</t>
  </si>
  <si>
    <t>$-a+3$</t>
  </si>
  <si>
    <t>$-3a+3$</t>
  </si>
  <si>
    <t>$3a-3$</t>
  </si>
  <si>
    <t>括号前是负号，去括号后括号内各项都变号：a-(2a-3)=a-2a+3=-a+3。故选B。</t>
  </si>
  <si>
    <t>KP-04.3</t>
  </si>
  <si>
    <t>EC-K2,EC-C1,EC-M1</t>
  </si>
  <si>
    <t>PAIR-QUOKUOH-01</t>
  </si>
  <si>
    <t>去括号“两项都检查”口诀：括号前是负号，心里默念“全都变”，去完括号回头检查每一项的符号；做8道题，其中4道专门练“-(…+…)”与“-(…-…)”。</t>
  </si>
  <si>
    <t>化简$b-(3b-2)$的结果是（ ）A. $-2b+2$ B. $-2b-2$ C. $4b-2$ D. $-2b$</t>
  </si>
  <si>
    <t>化简：$3x-(x-2y)+(2x-y)=$____。</t>
  </si>
  <si>
    <t>4x+y</t>
  </si>
  <si>
    <t>去括号：3x-x+2y+2x-y；合并同类项：(3-1+2)x+(2-1)y=4x+y。</t>
  </si>
  <si>
    <t>KP-04.4</t>
  </si>
  <si>
    <t>多括号化简“一去二合三查”：先去完全部括号并逐项标符号，再圈同类项合并，最后把y代1、x代1回验原式与结果是否相等，练5题。</t>
  </si>
  <si>
    <t>化简：$2a-(a-3b)+(a-2b)=$____。</t>
  </si>
  <si>
    <t>2a+b</t>
  </si>
  <si>
    <t>下列方程中，是一元一次方程的是（ ）</t>
  </si>
  <si>
    <t>$x^2-3x=0$</t>
  </si>
  <si>
    <t>$2x+1=7$</t>
  </si>
  <si>
    <t>$x+y=5$</t>
  </si>
  <si>
    <t>$\frac{1}{x}=2$</t>
  </si>
  <si>
    <t>一元一次方程须同时满足三个条件：只含一个未知数、未知数的次数是1、是整式方程。只有B三个条件都满足。A次数为2，C有两个未知数，D未知数在分母。故选B。</t>
  </si>
  <si>
    <t>KP-05.2</t>
  </si>
  <si>
    <t>把三要素做成口诀“一个字母、一次方、整式里”，用10个方程做“是不是”快速判断，每个判断必须说出缺了哪条。</t>
  </si>
  <si>
    <t>下列是一元一次方程的是（ ）A. $3x=9$ B. $x^2=4$ C. $2x-y=1$ D. $\frac{2}{x}=1$</t>
  </si>
  <si>
    <t>解方程$3x-5=7$，得$x=$____。</t>
  </si>
  <si>
    <t>两边同时加5：3x=12；两边同时除以3：x=4。检验：3×4-5=7 ✓。</t>
  </si>
  <si>
    <t>KP-05.3</t>
  </si>
  <si>
    <t>EC-K2,EC-M2</t>
  </si>
  <si>
    <t>PAIR-JIEFANGCH-01</t>
  </si>
  <si>
    <t>解方程“变形写依据”：每步括号注明（两边同时加5）（两边同时除以3），做完回代检验；连续5题全对后才允许提速。</t>
  </si>
  <si>
    <t>解方程$4x+3=19$，得$x=$____。</t>
  </si>
  <si>
    <t>由方程$2x-4=10$进行第一步变形，正确的是（ ）</t>
  </si>
  <si>
    <t>$2x=10-4$</t>
  </si>
  <si>
    <t>$2x=10+4$</t>
  </si>
  <si>
    <t>$x-4=5$</t>
  </si>
  <si>
    <t>$2x-4+4=10-4$</t>
  </si>
  <si>
    <t>方程两边同时加上4：2x-4+4=10+4，即2x=10+4。故选B。</t>
  </si>
  <si>
    <t>EC-K2,EC-M2,EC-K1</t>
  </si>
  <si>
    <t>把方程变形统一成“两边同时”句式：每步先说一句“两边同时___”，再动笔写；用5道题专练“两边同加/同减”与“两边同除”的第一步变形，只写第一步。</t>
  </si>
  <si>
    <t>由方程$3x+6=15$进行第一步变形，正确的是（ ）A. $3x=15+6$ B. $3x=15-6$ C. $x+6=5$ D. $3x+6-3=15-6$</t>
  </si>
  <si>
    <t>如图，O是直线AB上的一点，射线OC在直线AB的上方，已知$\angle AOC=50^{\circ}$，则$\angle BOC=$____$^{\circ}$。</t>
  </si>
  <si>
    <t>130</t>
  </si>
  <si>
    <t>O在直线AB上，∠AOB=180°（平角）；∠AOC与∠BOC合成平角：∠BOC=180°-50°=130°。</t>
  </si>
  <si>
    <t>KP-02.7</t>
  </si>
  <si>
    <t>EC-K1,EC-K2,EC-M1</t>
  </si>
  <si>
    <t>互余与互补对比卡：和为90°叫互余、和为180°叫互补（合成平角），配“一条直线上的射线”图3张，每张图都写出两个角和为180°的等式。</t>
  </si>
  <si>
    <t>O是直线AB上一点，射线OC在AB上方，$\angle AOC=35^{\circ}$，则$\angle BOC=$____$^{\circ}$。</t>
  </si>
  <si>
    <t>145</t>
  </si>
  <si>
    <t>有理数$a$、$b$在数轴上的位置如图所示：$a$在$-3$与$-2$之间，$b$在$1$与$2$之间。下列结论一定正确的是（ ）</t>
  </si>
  <si>
    <t>$a&gt;b$</t>
  </si>
  <si>
    <t>$|a|&lt;|b|$</t>
  </si>
  <si>
    <t>EC-K1,EC-M1</t>
  </si>
  <si>
    <t>$a+b&gt;0$</t>
  </si>
  <si>
    <t>$-a&gt;b$</t>
  </si>
  <si>
    <t>D</t>
  </si>
  <si>
    <t>a在-3与-2之间，则-a在2与3之间；b在1与2之间。所以-a&gt;2&gt;b，即-a&gt;b一定成立。A：负数不可能大于正数；B：|a|在2与3之间，|b|在1与2之间，应|a|&gt;|b|；C：a+b的和在-2与0之间，小于0。故选D。</t>
  </si>
  <si>
    <t>字母大小比较“先定位再比较”：在数轴上把a、-a、b、-b四个点的区间都标出来，再读不等式；练4道题，每题都画数轴不许空想。</t>
  </si>
  <si>
    <t>$m$在$-4$与$-3$之间，$n$在$0$与$1$之间，下列一定正确的是（ ）A. $m&gt;n$ B. $|m|&lt;|n|$ C. $-m&gt;n$ D. $m+n&gt;0$</t>
  </si>
  <si>
    <t>化简：$2(3a-b)-3(a-2b)$。</t>
  </si>
  <si>
    <t>[{"seq": 1, "prompt": "第一步：去括号（写出展开结果）", "answer": "6a-2b-3a+6b", "answer_spec": {"accept_forms": ["expression"]}, "score": 1, "ec_mapping": ["EC-K2"]}, {"seq": 2, "prompt": "第二步：合并同类项（写出最简结果）", "answer": "3a+4b", "answer_spec": {"accept_forms": ["expression"]}, "score": 2, "ec_mapping": ["EC-M1"]}]</t>
  </si>
  <si>
    <t>去括号：2(3a-b)=6a-2b，-3(a-2b)=-3a+6b；合并：(6-3)a+(-2+6)b=3a+4b。</t>
  </si>
  <si>
    <t>含系数括号“分配两遍”检查：-3(a-2b)心里算两遍：-3×a=-3a，-3×(-2b)=+6b，每一项都过一遍“符号×符号”；练6道含负系数分配的题。</t>
  </si>
  <si>
    <t>化简：$3(2m-n)-2(m-3n)$。</t>
  </si>
  <si>
    <t>4m+3n</t>
  </si>
  <si>
    <t>先化简，再求值：$(2x-3y)-(x-2y)$，其中$x=2$，$y=-1$。</t>
  </si>
  <si>
    <t>[{"seq": 1, "prompt": "第一步：化简（写出最简结果）", "answer": "x-y", "answer_spec": {"accept_forms": ["expression"]}, "score": 2, "ec_mapping": ["EC-K2"]}, {"seq": 2, "prompt": "第二步：代入求值（写出数值结果）", "answer": "3", "answer_spec": {"accept_forms": ["integer"]}, "score": 1, "ec_mapping": ["EC-K2", "EC-M1"]}]</t>
  </si>
  <si>
    <t>化简：2x-3y-x+2y=x-y；代入：x-y=2-(-1)=2+1=3。</t>
  </si>
  <si>
    <t>“化简→代入”两道工序分开写：第一行写化简结果，第二行写“当x=2,y=-1时”，第三行才代入；代入负数必须带括号，练4题。</t>
  </si>
  <si>
    <t>先化简再求值：$(3a-b)-(a-3b)$，其中$a=1$，$b=-2$。</t>
  </si>
  <si>
    <t>化简2a+2b，求值-2</t>
  </si>
  <si>
    <t>解方程：$\frac{2x-1}{3}=\frac{x+2}{2}$。</t>
  </si>
  <si>
    <t>[{"seq": 1, "prompt": "第一步：去分母并去括号（写出变形后的方程）", "answer": "4x-2=3x+6", "answer_spec": {"accept_forms": ["expression"]}, "score": 2, "ec_mapping": ["EC-K2", "EC-M2"]}, {"seq": 2, "prompt": "第二步：移项求解（写出x的值）", "answer": "8", "answer_spec": {"accept_forms": ["integer"]}, "score": 1, "ec_mapping": ["EC-K2", "EC-M1"]}]</t>
  </si>
  <si>
    <t>两边同乘6：2(2x-1)=3(x+2)；去括号：4x-2=3x+6；移项：4x-3x=6+2，x=8。检验：左边=(16-1)/3=5，右边=(8+2)/2=5 ✓。</t>
  </si>
  <si>
    <t>去分母“三查”：①两边都乘了吗②每个分子都加括号了吗③每项都乘到吗；练4道含分母方程，每题把三查写在题旁。</t>
  </si>
  <si>
    <t>解方程：$\frac{x-1}{2}=\frac{x+1}{3}$。</t>
  </si>
  <si>
    <t>x=5（3(x-1)=2(x+1)→3x-3=2x+2→x=5）</t>
  </si>
  <si>
    <t>唐山港某物流仓库开展“双日清点”：第一天运进货物的吨数比第二天多20吨，两天共运进180吨。两天各运进货物多少吨？（要求：用一元一次方程解答）</t>
  </si>
  <si>
    <t>[{"seq": 1, "prompt": "第一步：设未知数并列出一元一次方程", "answer": "设第二天运进x吨，x+(x+20)=180", "answer_spec": {"accept_forms": ["expression"]}, "score": 2, "ec_mapping": ["EC-M4", "EC-C1"]}, {"seq": 2, "prompt": "第二步：解方程并写出两天各多少吨", "answer": "第二天80吨，第一天100吨", "answer_spec": {"accept_forms": ["text"]}, "score": 1, "ec_mapping": ["EC-M1", "EC-C4"]}]</t>
  </si>
  <si>
    <t>设第二天运进x吨，则第一天运进(x+20)吨。x+(x+20)=180，2x=160，x=80。第二天80吨，第一天80+20=100吨。检验：100+80=180 ✓，100-80=20 ✓。</t>
  </si>
  <si>
    <t>YS-07</t>
  </si>
  <si>
    <t>EC-M4,EC-C1,EC-J1</t>
  </si>
  <si>
    <t>应用题“翻译三步”：①把“谁比谁多”改写成“大数=小数+差”②设小数为x③用x表示大数再相加等于总数；用3道和差倍分题走完整流程，不许口算跳步。</t>
  </si>
  <si>
    <t>雄安新区某绿化队两天共植树240棵，第一天比第二天少植30棵，两天各植多少棵？（用方程解答）</t>
  </si>
  <si>
    <t>设第二天x棵：x+(x-30)=240，x=135；第二天135棵，第一天105棵</t>
  </si>
  <si>
    <t>规定：数轴上点P表示的数为$x$，若$|x+1|=3$，则称点P为“基准点”。满足条件的“基准点”表示的数是（ ）</t>
  </si>
  <si>
    <t>$-4$</t>
  </si>
  <si>
    <t>$2$或$-4$</t>
  </si>
  <si>
    <t>$4$或$-2$</t>
  </si>
  <si>
    <t>|x+1|=3，则x+1=3或x+1=-3，解得x=2或x=-4。两种情况都要考虑。故选C。</t>
  </si>
  <si>
    <t>EC-C3,EC-M1</t>
  </si>
  <si>
    <t>绝对值方程“一拆二”口诀：看见|式子|=正数，立刻写成“式子=正”和“式子=负”两行再分别解；练5道，每题必须写出两行。</t>
  </si>
  <si>
    <t>若$|y-2|=5$，则$y=$（ ）A. $7$ B. $-3$ C. $7$或$-3$ D. $3$或$-7$</t>
  </si>
  <si>
    <t>用火柴棒按下图规律摆正方形：摆1个正方形用4根，摆2个相连的正方形用7根，摆3个相连的正方形用10根……按此规律，摆$n$个相连的正方形需要火柴棒____根（用含$n$的式子表示）。</t>
  </si>
  <si>
    <t>3n+1</t>
  </si>
  <si>
    <t>每增加1个正方形增加3根火柴棒（共享一条边）。首项4根，公差3：4+3(n-1)=3n+1。检验：n=3时3×3+1=10 ✓。</t>
  </si>
  <si>
    <t>L4</t>
  </si>
  <si>
    <t>YS-05,YS-09</t>
  </si>
  <si>
    <t>EC-C3,EC-M3,EC-M1</t>
  </si>
  <si>
    <t>规律题“三步归纳”：①写出前3项的具体数②算相邻差确定“每次变多少”③用第1项反推修正项（4=3×1+1），再用第2、3项检验；练4组图形规律。</t>
  </si>
  <si>
    <t>按规律搭三角形：1个三角形用3根，2个相连的用5根，3个相连的用7根……搭$n$个需要____根。</t>
  </si>
  <si>
    <t>2n+1</t>
  </si>
  <si>
    <t>如图，点C是线段AB的中点，点D是线段AC的中点，若$AB=12$cm，则$DB=$（ ）</t>
  </si>
  <si>
    <t>$3$cm</t>
  </si>
  <si>
    <t>$6$cm</t>
  </si>
  <si>
    <t>$9$cm</t>
  </si>
  <si>
    <t>$8$cm</t>
  </si>
  <si>
    <t>C是AB中点：AC=CB=6cm；D是AC中点：AD=DC=3cm。DB=DC+CB=3+6=9cm。故选C。</t>
  </si>
  <si>
    <t>KP-02.4</t>
  </si>
  <si>
    <t>EC-C1,EC-M4</t>
  </si>
  <si>
    <t>几何题“目标圈注法”：动笔前先用红笔圈出题目要求的量（DB），再拆解：DB=DC+CB，缺谁求谁；每题做完回头看一眼“我算的是不是圈里的量”。</t>
  </si>
  <si>
    <t>点C是线段AB的中点，D是CB的中点，$AB=16$cm，则$AD=$（ ）A. $8$cm B. $12$cm C. $4$cm D. $10$cm</t>
  </si>
  <si>
    <t>一个长方形的长是宽的2倍，周长是36cm，它的面积是____cm²。</t>
  </si>
  <si>
    <t>72</t>
  </si>
  <si>
    <t>设宽为x cm，则长为2x cm。周长：2(x+2x)=36，6x=36，x=6；长12cm；面积12×6=72cm²。</t>
  </si>
  <si>
    <t>EC-C4,EC-K1,EC-M1</t>
  </si>
  <si>
    <t>多步应用题在草稿纸顶端先写“最终求什么”（面积=长×宽=?），每求出一个中间量就打勾确认“这是中间量，还不是答案”。</t>
  </si>
  <si>
    <t>一个长方形的长比宽多4cm，周长是28cm，面积是____cm²。</t>
  </si>
  <si>
    <t>45（设宽x：2(x+x+4)=28→x=5，长9，面积9×5=45）</t>
  </si>
  <si>
    <t>一个长方形的长为$(2a+3)$cm，宽比长少$a$ cm，则这个长方形的周长用含$a$的式子表示为（ ）</t>
  </si>
  <si>
    <t>$(6a+12)$cm</t>
  </si>
  <si>
    <t>$(6a+6)$cm</t>
  </si>
  <si>
    <t>$(3a+6)$cm</t>
  </si>
  <si>
    <t>$(4a+6)$cm</t>
  </si>
  <si>
    <t>宽=2a+3-a=a+3；周长=2[(2a+3)+(a+3)]=2(3a+6)=6a+12。故选A。</t>
  </si>
  <si>
    <t>EC-C1,EC-K1,EC-M1</t>
  </si>
  <si>
    <t>PAIR-ZHENGSHI-01</t>
  </si>
  <si>
    <t>几何+代数综合题“先翻译后计算”：把“宽比长少a”先写成 宽=长-a=(2a+3)-a，化简出宽再套周长公式；练3道同类题。</t>
  </si>
  <si>
    <t>长方形的长为$(3b+1)$cm，宽比长少$b$ cm，周长用含$b$的式子表示为（ ）A. $(10b+4)$cm B. $(10b+2)$cm C. $(5b+2)$cm D. $(8b+4)$cm</t>
  </si>
  <si>
    <t>A（宽=2b+1，周长=2[(3b+1)+(2b+1)]=2(5b+2)=10b+4 ✓）</t>
  </si>
  <si>
    <t>规定一种新运算“⊗”：$a\otimes b=a^2-ab$。例如$3\otimes2=3^2-3\times2=3$。按此规定，$(-2)\otimes3=$____。</t>
  </si>
  <si>
    <t>10</t>
  </si>
  <si>
    <t>(-2)⊗3=(-2)²-(-2)×3=4-(-6)=4+6=10。注意：(-2)²=4（不是-4）；-(-2)×3=+6。</t>
  </si>
  <si>
    <t>YS-01,YS-09</t>
  </si>
  <si>
    <t>EC-K1,EC-K2,EC-M4</t>
  </si>
  <si>
    <t>新定义运算“照猫画虎”三步：①把例题的代入过程抄一遍②对照着把新数换进去③逐符号检查后再算；练3道自定义运算题。</t>
  </si>
  <si>
    <t>规定$m\otimes n=m^2+2n$，则$(-3)\otimes4=$____。</t>
  </si>
  <si>
    <t>17（9+8=17）</t>
  </si>
  <si>
    <t>假期里，小明一家从石家庄自驾到太行山某景区游玩。去时平均速度为60千米/时，用了3小时；沿原路返回时车速提高，用了2.5小时。返回时的平均速度是多少千米/时？（要求：用一元一次方程解答）</t>
  </si>
  <si>
    <t>[{"seq": 1, "prompt": "第一问：设未知数，并根据“往返路程相等”列出一元一次方程", "answer": "设返回时平均速度为x千米/时，2.5x=60×3", "answer_spec": {"accept_forms": ["expression"]}, "score": 2, "ec_mapping": ["EC-M4", "EC-J1"]}, {"seq": 2, "prompt": "第二问：解这个方程，求出x的值", "answer": "72", "answer_spec": {"accept_forms": ["integer"]}, "score": 2, "ec_mapping": ["EC-M1", "EC-K4"]}, {"seq": 3, "prompt": "第三问：检验结果的合理性（对照题中“车速提高”的条件），并完整作答", "answer": "返回时平均速度是72千米/时；72×2.5=180=60×3，且72&gt;60符合“车速提高”", "answer_spec": {"accept_forms": ["text"]}, "score": 2, "ec_mapping": ["EC-C4"]}]</t>
  </si>
  <si>
    <t>设返回时平均速度为x千米/时。往返路程相等：2.5x=60×3，2.5x=180，x=72。检验：72×2.5=180=60×3 ✓；72&gt;60，与“车速提高”一致 ✓。答：返回时平均速度是72千米/时。</t>
  </si>
  <si>
    <t>EC-M4,EC-J1,EC-C4</t>
  </si>
  <si>
    <t>PAIR-FANGCHENG-APP-01</t>
  </si>
  <si>
    <t>应用题收尾“两问自查”：①把答案代回题目所有数字条件算一遍②问自己“答案和题目里哪个描述能对上”（如本题“车速提高”→返回速度应更大）；每题强制写“答：”完整句。</t>
  </si>
  <si>
    <t>某旅行团从保定到白洋淀景区，去时大巴平均速度50千米/时，用了2小时；原路返回时用了2.5小时。返回时平均速度是多少？（用方程解答）</t>
  </si>
  <si>
    <t>设返回速度x：2.5x=50×2，x=40；检验40×2.5=100 ✓，答：40千米/时</t>
  </si>
  <si>
    <t>白洋淀某特产店中，咸鸭蛋每盒30元，松花蛋每盒25元。李老师买了两种蛋共10盒，共花了270元。（1）两种蛋各买了几盒？（用一元一次方程解答）（2）若预算追加到300元，松花蛋盒数不变，最多能再多买几盒咸鸭蛋？说明理由。</t>
  </si>
  <si>
    <t>[{"seq": 1, "prompt": "第一问①：设未知数并列出一元一次方程", "answer": "设咸鸭蛋买了x盒，30x+25(10-x)=270", "answer_spec": {"accept_forms": ["expression"]}, "score": 2, "ec_mapping": ["EC-M4", "EC-J1"]}, {"seq": 2, "prompt": "第一问②：解方程并写出两种蛋各几盒", "answer": "咸鸭蛋4盒，松花蛋6盒", "answer_spec": {"accept_forms": ["text"]}, "score": 2, "ec_mapping": ["EC-M1", "EC-C4"]}, {"seq": 3, "prompt": "第二问：预算300元、松花蛋盒数不变，最多再多买几盒咸鸭蛋？写出理由", "answer": "最多再买1盒；再买1盒共300元≤300元，再买2盒需330元&gt;300元", "answer_spec": {"accept_forms": ["text"]}, "score": 2, "ec_mapping": ["EC-C3", "EC-M3"]}]</t>
  </si>
  <si>
    <t>设咸鸭蛋x盒，则松花蛋(10-x)盒。30x+25(10-x)=270，30x+250-25x=270，5x=20，x=4；松花蛋6盒。检验：30×4+25×6=120+150=270 ✓。第二问：再买1盒总花费270+30=300元，正好；再买2盒需330元，超预算。最多再买1盒。</t>
  </si>
  <si>
    <t>EC-M4,EC-J1,EC-C3</t>
  </si>
  <si>
    <t>双约束模型“两个条件分工”口诀：一个条件设关系（共10盒→(10-x)），一个条件列方程（共270元→等式）；方案比较题必须“两头试”：试“可以”还要试“不行”。</t>
  </si>
  <si>
    <t>某文具店笔记本每本8元，笔袋每个15元。小明买两种文具共9件，花了100元。各买了多少？（用方程解答）</t>
  </si>
  <si>
    <t>设笔记本x本：8x+15(9-x)=100→-7x=-35→x=5；笔记本5本、笔袋4个（验：40+60=100 ✓）</t>
  </si>
  <si>
    <t>先化简，再求值：$\frac{3}{2}(4x-2y)-2(3x-y)$，其中$x=-1$，$y=2$。</t>
  </si>
  <si>
    <t>[{"seq": 1, "prompt": "第一步：去括号（写出展开结果）", "answer": "6x-3y-6x+2y", "answer_spec": {"accept_forms": ["expression"]}, "score": 2, "ec_mapping": ["EC-K2", "EC-M1"]}, {"seq": 2, "prompt": "第二步：合并同类项（写出最简结果）", "answer": "-y", "answer_spec": {"accept_forms": ["expression"]}, "score": 2, "ec_mapping": ["EC-K1", "EC-M1"]}, {"seq": 3, "prompt": "第三步：代入求值（写出数值结果）", "answer": "-2", "answer_spec": {"accept_forms": ["integer"]}, "score": 2, "ec_mapping": ["EC-K2", "EC-C4"]}]</t>
  </si>
  <si>
    <t>去括号：(3/2)(4x-2y)=6x-3y；-2(3x-y)=-6x+2y；合并：6x-3y-6x+2y=-y；代入y=2：原式=-2。（注意：化简结果不含x，x=-1用不上，这是正常现象，可作检验线索。）</t>
  </si>
  <si>
    <t>EC-K2,EC-M1,EC-C4</t>
  </si>
  <si>
    <t>化简求值题“结果预判”习惯：化简完先看结果含哪些字母，代入前就知道哪些条件用得上；遇到“条件用不上”先相信自己的化简，回检一遍再定稿。</t>
  </si>
  <si>
    <t>先化简，再求值：$\frac{2}{3}(6a-3b)-3(2a-b)$，其中$a=5$，$b=-1$。</t>
  </si>
  <si>
    <t>化简：4a-2b-6a+3b=-2a+b；代入：-10+(-1)=-11</t>
  </si>
  <si>
    <t>考点依赖表（前置依赖关系，Phase 0冻结）</t>
  </si>
  <si>
    <t>kp_code=KP-章.节；小学前置用KP-P.前缀；prerequisite_ids用英文逗号分隔</t>
  </si>
  <si>
    <t>kp_name 考点名称</t>
  </si>
  <si>
    <t>module 领域</t>
  </si>
  <si>
    <t>prerequisite_ids 直接前置</t>
  </si>
  <si>
    <t>绝对值与相反数</t>
  </si>
  <si>
    <t>数与代数</t>
  </si>
  <si>
    <t>有理数的乘法</t>
  </si>
  <si>
    <t>KP-P.分数乘法</t>
  </si>
  <si>
    <t>有理数的乘方</t>
  </si>
  <si>
    <t>有理数的混合运算</t>
  </si>
  <si>
    <t>KP-01.8,KP-01.10</t>
  </si>
  <si>
    <t>整式</t>
  </si>
  <si>
    <t>去括号</t>
  </si>
  <si>
    <t>解一元一次方程</t>
  </si>
  <si>
    <t>KP-04.3,KP-P.等式性质</t>
  </si>
  <si>
    <t>一元一次方程的应用</t>
  </si>
  <si>
    <t>分数乘法（小学前置）</t>
  </si>
  <si>
    <t>KP-P.等式性质</t>
  </si>
  <si>
    <t>等式的基本性质（小学前置）</t>
  </si>
  <si>
    <t>错因-方法卡（16张，教研审核入库）</t>
  </si>
  <si>
    <t>四列必填：方法/4周路径/适用边界/验证指标；审核人签字后生效</t>
  </si>
  <si>
    <t>ec_code</t>
  </si>
  <si>
    <t>method_name 方法名</t>
  </si>
  <si>
    <t>method_content 方法内容</t>
  </si>
  <si>
    <t>path_4week 4周路径</t>
  </si>
  <si>
    <t>contraindication 适用边界/禁忌</t>
  </si>
  <si>
    <t>verification_metric 验证指标</t>
  </si>
  <si>
    <t>reviewed_by 审核人</t>
  </si>
  <si>
    <t>version</t>
  </si>
  <si>
    <t>概念溯源法</t>
  </si>
  <si>
    <t>回到教材定义，用自己的话复述概念，举3个正例+1个反例</t>
  </si>
  <si>
    <t>W1精读教材定义→W2概念辨析专项→W3变式判断→W4综合应用</t>
  </si>
  <si>
    <t>不适用于临考前（周期长，考前用记忆卡片代替）</t>
  </si>
  <si>
    <t>4周后复测，概念类错因占比降至15%以下</t>
  </si>
  <si>
    <t>待填</t>
  </si>
  <si>
    <t>v1.0</t>
  </si>
  <si>
    <t>慢算训练法</t>
  </si>
  <si>
    <t>每天10分钟，强制书写每一步运算过程，禁用口算，完成后逆运算回验</t>
  </si>
  <si>
    <t>W1整式运算慢算→W2方程求解慢算→W3限时准算→W4综合运算</t>
  </si>
  <si>
    <t>不适用于答题时间严重不足的学生（先用草稿分区法）</t>
  </si>
  <si>
    <t>4周后复测，运算类错因占比降至15%以下</t>
  </si>
  <si>
    <t>模型卡片法</t>
  </si>
  <si>
    <t>建立'条件特征→模型名称→解题套路'对应表，每日归类2道题</t>
  </si>
  <si>
    <t>W1整理5个核心模型→W2模型识别专项→W3变式训练→W4混合实战</t>
  </si>
  <si>
    <t>需先排除K类知识缺口（模型法建立在知识完整之上）</t>
  </si>
  <si>
    <t>4周后变式题正确率提升≥20%</t>
  </si>
  <si>
    <t>三道质检关（逐题勾选）</t>
  </si>
  <si>
    <t>自检→终审→导入前校验；任何一项不过，题目进返修池</t>
  </si>
  <si>
    <t>第一关：命题人自检（每题）</t>
  </si>
  <si>
    <t>检查项</t>
  </si>
  <si>
    <t>标准</t>
  </si>
  <si>
    <t>通过√</t>
  </si>
  <si>
    <t>检查人</t>
  </si>
  <si>
    <t>代入答案回验：题目可解、答案正确、条件无矛盾</t>
  </si>
  <si>
    <t>无非预期多解/无解；数字结果简洁</t>
  </si>
  <si>
    <t>题干无歧义；图形题文字复述完备</t>
  </si>
  <si>
    <t>难度预估在0.30-0.90且符合当日层级定位</t>
  </si>
  <si>
    <t>干扰项逐一对应EC错因，无凑数错项</t>
  </si>
  <si>
    <t>预期作答时长已估且合理</t>
  </si>
  <si>
    <t>变式题同考点同层级同错因、难度差&lt;0.05</t>
  </si>
  <si>
    <t>改进建议具体到行为，无空话</t>
  </si>
  <si>
    <t>第二关：终审教师复核（每题）</t>
  </si>
  <si>
    <t>独立验算一遍（不看作命题人解析）</t>
  </si>
  <si>
    <t>错因归因与学生真实错误一致（必要时双人裁定）</t>
  </si>
  <si>
    <t>考点编码与教材2024版章节一致（对照附录C）</t>
  </si>
  <si>
    <t>无超纲：知识点属于该SKU范围（衔接卷不含多边形/平行线）</t>
  </si>
  <si>
    <t>分步题各小问独立得分，无强依赖</t>
  </si>
  <si>
    <t>终审状态改为'通过'并签字</t>
  </si>
  <si>
    <t>第三关：导入前校验（每批）</t>
  </si>
  <si>
    <t>kp_code全部已在考点依赖表登记</t>
  </si>
  <si>
    <t>choice恰4选项且每个错项带ec_code</t>
  </si>
  <si>
    <t>fill/step的answer_spec四列完整</t>
  </si>
  <si>
    <t>seq_no当日内连续唯一；每日热身题恰2道</t>
  </si>
  <si>
    <t>pairing_id组内≥2题；parallel_group_id组内难度极差≤0.05</t>
  </si>
  <si>
    <t>每天题量与蓝皮书一致（22/18/15）</t>
  </si>
  <si>
    <t>KaTeX语法抽样渲染无错（$配对、反斜杠转义）</t>
  </si>
  <si>
    <t>改进建议无'加强/多练/认真'开头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</si>
</sst>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rgb="FF000000"/>
      <name val="Calibri"/>
      <charset val="1"/>
    </font>
    <font>
      <b/>
      <sz val="18"/>
      <name val="Noto Sans CJK SC"/>
      <charset val="1"/>
    </font>
    <font>
      <sz val="11"/>
      <color rgb="FF666666"/>
      <name val="Noto Sans CJK SC"/>
      <charset val="1"/>
    </font>
    <font>
      <b/>
      <sz val="12"/>
      <name val="Noto Sans CJK SC"/>
      <charset val="1"/>
    </font>
    <font>
      <b/>
      <sz val="11"/>
      <color rgb="FFFFFFFF"/>
      <name val="Noto Sans CJK SC"/>
      <charset val="1"/>
    </font>
    <font>
      <sz val="11"/>
      <color rgb="FF000000"/>
      <name val="Noto Sans CJK SC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sz val="10"/>
      <name val="Noto Sans CJK SC"/>
      <charset val="1"/>
    </font>
    <font>
      <sz val="11"/>
      <color rgb="FF666666"/>
      <name val="Cambria"/>
      <charset val="1"/>
    </font>
    <font>
      <b/>
      <sz val="10"/>
      <color rgb="FFFFFFFF"/>
      <name val="Cambria"/>
      <charset val="1"/>
    </font>
    <font>
      <b/>
      <sz val="10"/>
      <color rgb="FFFFFFFF"/>
      <name val="Noto Sans CJK SC"/>
      <charset val="1"/>
    </font>
    <font>
      <sz val="11"/>
      <color rgb="FF000000"/>
      <name val="Noto Sans CJK SC"/>
      <charset val="134"/>
    </font>
    <font>
      <b/>
      <sz val="11"/>
      <name val="Cambria"/>
      <charset val="1"/>
    </font>
    <font>
      <sz val="11"/>
      <color rgb="FF0066CC"/>
      <name val="Noto Sans CJK SC"/>
      <charset val="1"/>
    </font>
    <font>
      <sz val="11"/>
      <color rgb="FF0066CC"/>
      <name val="Cambria"/>
      <charset val="1"/>
    </font>
    <font>
      <b/>
      <sz val="11"/>
      <name val="Noto Sans CJK SC"/>
      <charset val="1"/>
    </font>
    <font>
      <b/>
      <sz val="11"/>
      <color rgb="FF0066CC"/>
      <name val="Noto Sans CJK SC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6F0FA"/>
        <bgColor rgb="FFF5F5F5"/>
      </patternFill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7" borderId="6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28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3" borderId="1" xfId="0" applyFont="1" applyFill="1" applyBorder="1" applyAlignment="1"/>
    <xf numFmtId="0" fontId="5" fillId="0" borderId="1" xfId="0" applyBorder="1" applyAlignment="1"/>
    <xf numFmtId="0" fontId="0" fillId="0" borderId="1" xfId="0" applyBorder="1" applyAlignment="1"/>
    <xf numFmtId="0" fontId="6" fillId="3" borderId="1" xfId="0" applyFont="1" applyFill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0" xfId="0" applyFont="1" applyAlignment="1"/>
    <xf numFmtId="0" fontId="0" fillId="4" borderId="1" xfId="0" applyFill="1" applyBorder="1" applyAlignment="1"/>
    <xf numFmtId="0" fontId="5" fillId="4" borderId="1" xfId="0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0" fontId="12" fillId="0" borderId="0" xfId="0" applyFont="1" applyAlignment="1"/>
    <xf numFmtId="0" fontId="13" fillId="4" borderId="1" xfId="0" applyFont="1" applyFill="1" applyBorder="1" applyAlignment="1"/>
    <xf numFmtId="0" fontId="14" fillId="4" borderId="1" xfId="0" applyFont="1" applyFill="1" applyBorder="1" applyAlignment="1"/>
    <xf numFmtId="0" fontId="13" fillId="0" borderId="1" xfId="0" applyFont="1" applyBorder="1" applyAlignment="1"/>
    <xf numFmtId="0" fontId="15" fillId="0" borderId="1" xfId="0" applyFont="1" applyBorder="1" applyAlignment="1"/>
    <xf numFmtId="0" fontId="14" fillId="0" borderId="1" xfId="0" applyFont="1" applyBorder="1" applyAlignment="1"/>
    <xf numFmtId="0" fontId="16" fillId="4" borderId="1" xfId="0" applyFont="1" applyFill="1" applyBorder="1" applyAlignment="1"/>
    <xf numFmtId="0" fontId="16" fillId="0" borderId="0" xfId="0" applyFont="1" applyAlignment="1"/>
    <xf numFmtId="0" fontId="5" fillId="0" borderId="0" xfId="0" applyAlignment="1"/>
    <xf numFmtId="0" fontId="3" fillId="0" borderId="0" xfId="0" applyFont="1" applyAlignment="1"/>
    <xf numFmtId="0" fontId="17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5F5"/>
      <rgbColor rgb="00E6F0FA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7"/>
  <sheetViews>
    <sheetView showGridLines="0" workbookViewId="0">
      <selection activeCell="A1" sqref="A1"/>
    </sheetView>
  </sheetViews>
  <sheetFormatPr defaultColWidth="8.68181818181818" defaultRowHeight="14.5" outlineLevelCol="2"/>
  <cols>
    <col min="1" max="1" width="4" customWidth="1"/>
    <col min="2" max="2" width="22" customWidth="1"/>
    <col min="3" max="3" width="60" customWidth="1"/>
    <col min="4" max="7" width="18" customWidth="1"/>
  </cols>
  <sheetData>
    <row r="2" ht="31.5" customHeight="1" spans="2:3">
      <c r="B2" s="1" t="s">
        <v>0</v>
      </c>
    </row>
    <row r="3" ht="15" customHeight="1" spans="2:3">
      <c r="B3" s="2" t="s">
        <v>1</v>
      </c>
    </row>
    <row r="5" ht="15" customHeight="1" spans="2:3">
      <c r="B5" s="24" t="s">
        <v>2</v>
      </c>
      <c r="C5" s="25" t="s">
        <v>3</v>
      </c>
    </row>
    <row r="6" ht="15" customHeight="1" spans="2:3">
      <c r="B6" s="24" t="s">
        <v>4</v>
      </c>
      <c r="C6" s="25" t="s">
        <v>5</v>
      </c>
    </row>
    <row r="7" ht="15" customHeight="1" spans="2:3">
      <c r="B7" s="24" t="s">
        <v>6</v>
      </c>
      <c r="C7" t="s">
        <v>7</v>
      </c>
    </row>
    <row r="8" ht="15" customHeight="1" spans="2:3">
      <c r="B8" s="24" t="s">
        <v>8</v>
      </c>
      <c r="C8" s="25" t="s">
        <v>9</v>
      </c>
    </row>
    <row r="9" ht="15" customHeight="1" spans="2:3">
      <c r="B9" s="24" t="s">
        <v>10</v>
      </c>
      <c r="C9" s="25" t="s">
        <v>11</v>
      </c>
    </row>
    <row r="10" ht="15" customHeight="1" spans="2:3">
      <c r="B10" s="24" t="s">
        <v>12</v>
      </c>
      <c r="C10" s="25" t="s">
        <v>13</v>
      </c>
    </row>
    <row r="12" ht="15" customHeight="1" spans="2:3">
      <c r="B12" s="26" t="s">
        <v>14</v>
      </c>
    </row>
    <row r="13" ht="15" customHeight="1" spans="2:3">
      <c r="B13" s="27" t="s">
        <v>15</v>
      </c>
      <c r="C13" s="25" t="s">
        <v>16</v>
      </c>
    </row>
    <row r="14" ht="15" customHeight="1" spans="2:3">
      <c r="B14" s="27" t="s">
        <v>17</v>
      </c>
      <c r="C14" s="25" t="s">
        <v>18</v>
      </c>
    </row>
    <row r="15" ht="15" customHeight="1" spans="2:3">
      <c r="B15" s="27" t="s">
        <v>19</v>
      </c>
      <c r="C15" s="25" t="s">
        <v>20</v>
      </c>
    </row>
    <row r="16" ht="15" customHeight="1" spans="2:3">
      <c r="B16" s="27" t="s">
        <v>21</v>
      </c>
      <c r="C16" s="25" t="s">
        <v>22</v>
      </c>
    </row>
    <row r="17" ht="15" customHeight="1" spans="2:3">
      <c r="B17" s="27" t="s">
        <v>23</v>
      </c>
      <c r="C17" s="25" t="s">
        <v>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1"/>
  <sheetViews>
    <sheetView showGridLines="0" workbookViewId="0">
      <selection activeCell="A1" sqref="A1"/>
    </sheetView>
  </sheetViews>
  <sheetFormatPr defaultColWidth="8.68181818181818" defaultRowHeight="14.5" outlineLevelCol="3"/>
  <cols>
    <col min="1" max="1" width="4" customWidth="1"/>
    <col min="2" max="2" width="24" customWidth="1"/>
    <col min="3" max="3" width="70" customWidth="1"/>
    <col min="4" max="4" width="30" customWidth="1"/>
    <col min="5" max="6" width="12" customWidth="1"/>
  </cols>
  <sheetData>
    <row r="2" ht="31.5" customHeight="1" spans="2:4">
      <c r="B2" s="1" t="s">
        <v>25</v>
      </c>
    </row>
    <row r="3" ht="15" customHeight="1" spans="2:4">
      <c r="B3" s="2" t="s">
        <v>26</v>
      </c>
    </row>
    <row r="5" ht="15" customHeight="1" spans="2:4">
      <c r="B5" s="4" t="s">
        <v>27</v>
      </c>
      <c r="C5" s="4" t="s">
        <v>28</v>
      </c>
      <c r="D5" s="4" t="s">
        <v>29</v>
      </c>
    </row>
    <row r="6" ht="15" customHeight="1" spans="2:4">
      <c r="B6" s="18" t="s">
        <v>30</v>
      </c>
      <c r="C6" s="12" t="s">
        <v>31</v>
      </c>
      <c r="D6" s="19" t="s">
        <v>32</v>
      </c>
    </row>
    <row r="7" ht="15" customHeight="1" spans="2:4">
      <c r="B7" s="20" t="s">
        <v>33</v>
      </c>
      <c r="C7" s="5" t="s">
        <v>34</v>
      </c>
      <c r="D7" s="21" t="s">
        <v>35</v>
      </c>
    </row>
    <row r="8" ht="15" customHeight="1" spans="2:4">
      <c r="B8" s="18" t="s">
        <v>36</v>
      </c>
      <c r="C8" s="12" t="s">
        <v>37</v>
      </c>
      <c r="D8" s="19" t="s">
        <v>38</v>
      </c>
    </row>
    <row r="9" ht="15" customHeight="1" spans="2:4">
      <c r="B9" s="20" t="s">
        <v>39</v>
      </c>
      <c r="C9" s="5" t="s">
        <v>40</v>
      </c>
      <c r="D9" s="22" t="s">
        <v>41</v>
      </c>
    </row>
    <row r="10" ht="15" customHeight="1" spans="2:4">
      <c r="B10" s="23" t="s">
        <v>42</v>
      </c>
      <c r="C10" s="12" t="s">
        <v>43</v>
      </c>
      <c r="D10" s="19" t="s">
        <v>44</v>
      </c>
    </row>
    <row r="11" ht="15" customHeight="1" spans="2:4">
      <c r="B11" s="20" t="s">
        <v>45</v>
      </c>
      <c r="C11" s="6" t="s">
        <v>46</v>
      </c>
      <c r="D11" s="22" t="s">
        <v>47</v>
      </c>
    </row>
    <row r="12" ht="15" customHeight="1" spans="2:4">
      <c r="B12" s="23" t="s">
        <v>48</v>
      </c>
      <c r="C12" s="12" t="s">
        <v>49</v>
      </c>
      <c r="D12" s="19" t="s">
        <v>50</v>
      </c>
    </row>
    <row r="13" ht="15" customHeight="1" spans="2:4">
      <c r="B13" s="20" t="s">
        <v>51</v>
      </c>
      <c r="C13" s="5" t="s">
        <v>52</v>
      </c>
      <c r="D13" s="22" t="s">
        <v>53</v>
      </c>
    </row>
    <row r="14" ht="15" customHeight="1" spans="2:4">
      <c r="B14" s="18" t="s">
        <v>54</v>
      </c>
      <c r="C14" s="12" t="s">
        <v>55</v>
      </c>
      <c r="D14" s="19" t="s">
        <v>56</v>
      </c>
    </row>
    <row r="15" ht="15" customHeight="1" spans="2:4">
      <c r="B15" s="20" t="s">
        <v>57</v>
      </c>
      <c r="C15" s="6" t="s">
        <v>58</v>
      </c>
      <c r="D15" s="22" t="s">
        <v>59</v>
      </c>
    </row>
    <row r="16" ht="15" customHeight="1" spans="2:4">
      <c r="B16" s="18" t="s">
        <v>60</v>
      </c>
      <c r="C16" s="11" t="s">
        <v>61</v>
      </c>
      <c r="D16" s="19" t="s">
        <v>62</v>
      </c>
    </row>
    <row r="17" ht="15" customHeight="1" spans="2:4">
      <c r="B17" s="20" t="s">
        <v>63</v>
      </c>
      <c r="C17" s="6" t="s">
        <v>64</v>
      </c>
      <c r="D17" s="22" t="s">
        <v>65</v>
      </c>
    </row>
    <row r="18" ht="15" customHeight="1" spans="2:4">
      <c r="B18" s="18" t="s">
        <v>66</v>
      </c>
      <c r="C18" s="12" t="s">
        <v>67</v>
      </c>
      <c r="D18" s="19" t="s">
        <v>68</v>
      </c>
    </row>
    <row r="19" ht="15" customHeight="1" spans="2:4">
      <c r="B19" s="20" t="s">
        <v>69</v>
      </c>
      <c r="C19" s="5" t="s">
        <v>70</v>
      </c>
      <c r="D19" s="22" t="s">
        <v>71</v>
      </c>
    </row>
    <row r="20" ht="15" customHeight="1" spans="2:4">
      <c r="B20" s="18" t="s">
        <v>72</v>
      </c>
      <c r="C20" s="12" t="s">
        <v>73</v>
      </c>
      <c r="D20" s="19" t="s">
        <v>74</v>
      </c>
    </row>
    <row r="21" ht="15" customHeight="1" spans="2:4">
      <c r="B21" s="20" t="s">
        <v>75</v>
      </c>
      <c r="C21" s="5" t="s">
        <v>76</v>
      </c>
      <c r="D21" s="22" t="s">
        <v>77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M500"/>
  <sheetViews>
    <sheetView showGridLines="0" tabSelected="1" workbookViewId="0">
      <pane xSplit="5" ySplit="4" topLeftCell="F47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2" customWidth="1"/>
    <col min="2" max="3" width="8" customWidth="1"/>
    <col min="4" max="5" width="10" customWidth="1"/>
    <col min="6" max="6" width="44" customWidth="1"/>
    <col min="7" max="7" width="14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4" width="16" customWidth="1"/>
    <col min="15" max="15" width="9" customWidth="1"/>
    <col min="16" max="16" width="12" customWidth="1"/>
    <col min="17" max="17" width="16" customWidth="1"/>
    <col min="18" max="18" width="8" customWidth="1"/>
    <col min="19" max="19" width="7" customWidth="1"/>
    <col min="20" max="20" width="8" customWidth="1"/>
    <col min="21" max="21" width="36" customWidth="1"/>
    <col min="22" max="22" width="8" customWidth="1"/>
    <col min="23" max="23" width="36" customWidth="1"/>
    <col min="24" max="26" width="12" customWidth="1"/>
    <col min="27" max="27" width="14" customWidth="1"/>
    <col min="28" max="28" width="16" customWidth="1"/>
    <col min="29" max="29" width="11" customWidth="1"/>
    <col min="30" max="30" width="12" customWidth="1"/>
    <col min="31" max="32" width="16" customWidth="1"/>
    <col min="33" max="33" width="11" customWidth="1"/>
    <col min="34" max="35" width="30" customWidth="1"/>
    <col min="36" max="36" width="12" customWidth="1"/>
    <col min="37" max="37" width="9" customWidth="1"/>
    <col min="38" max="38" width="10" customWidth="1"/>
    <col min="39" max="39" width="16" customWidth="1"/>
  </cols>
  <sheetData>
    <row r="4" ht="27.75" customHeight="1" spans="2:39">
      <c r="B4" s="13" t="s">
        <v>78</v>
      </c>
      <c r="C4" s="13" t="s">
        <v>79</v>
      </c>
      <c r="D4" s="13" t="s">
        <v>80</v>
      </c>
      <c r="E4" s="13" t="s">
        <v>81</v>
      </c>
      <c r="F4" s="13" t="s">
        <v>82</v>
      </c>
      <c r="G4" s="13" t="s">
        <v>83</v>
      </c>
      <c r="H4" s="13" t="s">
        <v>84</v>
      </c>
      <c r="I4" s="13" t="s">
        <v>85</v>
      </c>
      <c r="J4" s="13" t="s">
        <v>86</v>
      </c>
      <c r="K4" s="13" t="s">
        <v>87</v>
      </c>
      <c r="L4" s="13" t="s">
        <v>88</v>
      </c>
      <c r="M4" s="13" t="s">
        <v>89</v>
      </c>
      <c r="N4" s="13" t="s">
        <v>90</v>
      </c>
      <c r="O4" s="13" t="s">
        <v>91</v>
      </c>
      <c r="P4" s="13" t="s">
        <v>45</v>
      </c>
      <c r="Q4" s="14" t="s">
        <v>92</v>
      </c>
      <c r="R4" s="14" t="s">
        <v>93</v>
      </c>
      <c r="S4" s="14" t="s">
        <v>94</v>
      </c>
      <c r="T4" s="14" t="s">
        <v>95</v>
      </c>
      <c r="U4" s="13" t="s">
        <v>96</v>
      </c>
      <c r="V4" s="13" t="s">
        <v>97</v>
      </c>
      <c r="W4" s="13" t="s">
        <v>98</v>
      </c>
      <c r="X4" s="13" t="s">
        <v>99</v>
      </c>
      <c r="Y4" s="13" t="s">
        <v>100</v>
      </c>
      <c r="Z4" s="13" t="s">
        <v>101</v>
      </c>
      <c r="AA4" s="13" t="s">
        <v>102</v>
      </c>
      <c r="AB4" s="13" t="s">
        <v>103</v>
      </c>
      <c r="AC4" s="13" t="s">
        <v>104</v>
      </c>
      <c r="AD4" s="13" t="s">
        <v>66</v>
      </c>
      <c r="AE4" s="13" t="s">
        <v>105</v>
      </c>
      <c r="AF4" s="13" t="s">
        <v>106</v>
      </c>
      <c r="AG4" s="13" t="s">
        <v>107</v>
      </c>
      <c r="AH4" s="13" t="s">
        <v>72</v>
      </c>
      <c r="AI4" s="13" t="s">
        <v>108</v>
      </c>
      <c r="AJ4" s="13" t="s">
        <v>109</v>
      </c>
      <c r="AK4" s="14" t="s">
        <v>110</v>
      </c>
      <c r="AL4" s="14" t="s">
        <v>111</v>
      </c>
      <c r="AM4" s="14" t="s">
        <v>112</v>
      </c>
    </row>
    <row r="5" ht="15" customHeight="1" spans="2:39">
      <c r="B5" s="15">
        <v>1</v>
      </c>
      <c r="C5" s="15">
        <v>1</v>
      </c>
      <c r="D5" s="15" t="s">
        <v>113</v>
      </c>
      <c r="E5" s="15" t="b">
        <f>TRUE()</f>
        <v>1</v>
      </c>
      <c r="F5" s="15" t="s">
        <v>114</v>
      </c>
      <c r="G5" s="15"/>
      <c r="H5" s="15" t="s">
        <v>115</v>
      </c>
      <c r="I5" s="15" t="s">
        <v>116</v>
      </c>
      <c r="J5" s="15" t="s">
        <v>117</v>
      </c>
      <c r="K5" s="15"/>
      <c r="L5" s="15" t="s">
        <v>118</v>
      </c>
      <c r="M5" s="15" t="s">
        <v>119</v>
      </c>
      <c r="N5" s="15" t="s">
        <v>120</v>
      </c>
      <c r="O5" s="15" t="s">
        <v>119</v>
      </c>
      <c r="P5" s="15" t="s">
        <v>121</v>
      </c>
      <c r="Q5" s="15"/>
      <c r="R5" s="15"/>
      <c r="S5" s="15"/>
      <c r="T5" s="15"/>
      <c r="U5" s="15"/>
      <c r="V5" s="15">
        <v>0</v>
      </c>
      <c r="W5" s="16" t="s">
        <v>122</v>
      </c>
      <c r="X5" s="15" t="s">
        <v>123</v>
      </c>
      <c r="Y5" s="15"/>
      <c r="Z5" s="15" t="s">
        <v>124</v>
      </c>
      <c r="AA5" s="15" t="s">
        <v>125</v>
      </c>
      <c r="AB5" s="15" t="s">
        <v>116</v>
      </c>
      <c r="AC5" s="15">
        <v>0.9</v>
      </c>
      <c r="AD5" s="15">
        <v>20</v>
      </c>
      <c r="AE5" s="15"/>
      <c r="AF5" s="15"/>
      <c r="AG5" s="15"/>
      <c r="AH5" s="16" t="s">
        <v>126</v>
      </c>
      <c r="AI5" s="15" t="s">
        <v>127</v>
      </c>
      <c r="AJ5" s="15" t="s">
        <v>128</v>
      </c>
      <c r="AK5" s="15"/>
      <c r="AL5" s="16" t="s">
        <v>129</v>
      </c>
      <c r="AM5" s="16" t="s">
        <v>130</v>
      </c>
    </row>
    <row r="6" ht="15" customHeight="1" spans="2:39">
      <c r="B6" s="15">
        <v>1</v>
      </c>
      <c r="C6" s="15">
        <v>5</v>
      </c>
      <c r="D6" s="15" t="s">
        <v>131</v>
      </c>
      <c r="E6" s="15" t="b">
        <f>FALSE()</f>
        <v>0</v>
      </c>
      <c r="F6" s="16" t="s">
        <v>132</v>
      </c>
      <c r="G6" s="15"/>
      <c r="H6" s="15"/>
      <c r="I6" s="15"/>
      <c r="J6" s="15"/>
      <c r="K6" s="15"/>
      <c r="L6" s="15"/>
      <c r="M6" s="15"/>
      <c r="N6" s="15"/>
      <c r="O6" s="15"/>
      <c r="P6" s="15" t="s">
        <v>133</v>
      </c>
      <c r="Q6" s="15" t="s">
        <v>134</v>
      </c>
      <c r="R6" s="15"/>
      <c r="S6" s="15" t="s">
        <v>135</v>
      </c>
      <c r="T6" s="15"/>
      <c r="U6" s="15"/>
      <c r="V6" s="15">
        <v>3</v>
      </c>
      <c r="W6" s="15" t="s">
        <v>136</v>
      </c>
      <c r="X6" s="15" t="s">
        <v>137</v>
      </c>
      <c r="Y6" s="15"/>
      <c r="Z6" s="15" t="s">
        <v>138</v>
      </c>
      <c r="AA6" s="15" t="s">
        <v>139</v>
      </c>
      <c r="AB6" s="15" t="s">
        <v>140</v>
      </c>
      <c r="AC6" s="15">
        <v>0.75</v>
      </c>
      <c r="AD6" s="15">
        <v>90</v>
      </c>
      <c r="AE6" s="15" t="s">
        <v>141</v>
      </c>
      <c r="AF6" s="15" t="s">
        <v>142</v>
      </c>
      <c r="AG6" s="15"/>
      <c r="AH6" s="16" t="s">
        <v>143</v>
      </c>
      <c r="AI6" s="16" t="s">
        <v>144</v>
      </c>
      <c r="AJ6" s="15" t="s">
        <v>145</v>
      </c>
      <c r="AK6" s="15"/>
      <c r="AL6" s="16" t="s">
        <v>129</v>
      </c>
      <c r="AM6" s="16" t="s">
        <v>130</v>
      </c>
    </row>
    <row r="7" ht="15" customHeight="1" spans="2:39">
      <c r="B7" s="15">
        <v>2</v>
      </c>
      <c r="C7" s="15">
        <v>14</v>
      </c>
      <c r="D7" s="15" t="s">
        <v>146</v>
      </c>
      <c r="E7" s="15" t="b">
        <f>FALSE()</f>
        <v>0</v>
      </c>
      <c r="F7" s="16" t="s">
        <v>147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 t="s">
        <v>148</v>
      </c>
      <c r="V7" s="15">
        <v>8</v>
      </c>
      <c r="W7" s="16" t="s">
        <v>149</v>
      </c>
      <c r="X7" s="15" t="s">
        <v>150</v>
      </c>
      <c r="Y7" s="15" t="s">
        <v>151</v>
      </c>
      <c r="Z7" s="15" t="s">
        <v>152</v>
      </c>
      <c r="AA7" s="15" t="s">
        <v>153</v>
      </c>
      <c r="AB7" s="15" t="s">
        <v>154</v>
      </c>
      <c r="AC7" s="15">
        <v>0.55</v>
      </c>
      <c r="AD7" s="15">
        <v>240</v>
      </c>
      <c r="AE7" s="15" t="s">
        <v>155</v>
      </c>
      <c r="AF7" s="15"/>
      <c r="AG7" s="15"/>
      <c r="AH7" s="16" t="s">
        <v>156</v>
      </c>
      <c r="AI7" s="16" t="s">
        <v>157</v>
      </c>
      <c r="AJ7" s="15" t="s">
        <v>158</v>
      </c>
      <c r="AK7" s="15"/>
      <c r="AL7" s="16" t="s">
        <v>129</v>
      </c>
      <c r="AM7" s="16" t="s">
        <v>130</v>
      </c>
    </row>
    <row r="8" ht="15" customHeight="1" spans="2:39">
      <c r="B8">
        <v>1</v>
      </c>
      <c r="C8">
        <v>1</v>
      </c>
      <c r="D8" t="s">
        <v>113</v>
      </c>
      <c r="E8" t="b">
        <f>TRUE()</f>
        <v>1</v>
      </c>
      <c r="F8" s="17" t="s">
        <v>159</v>
      </c>
      <c r="H8" t="s">
        <v>160</v>
      </c>
      <c r="J8" t="s">
        <v>161</v>
      </c>
      <c r="L8" t="s">
        <v>162</v>
      </c>
      <c r="N8" t="s">
        <v>163</v>
      </c>
      <c r="P8" t="s">
        <v>164</v>
      </c>
      <c r="S8" t="b">
        <f t="shared" ref="S8:S29" si="0">FALSE()</f>
        <v>0</v>
      </c>
      <c r="V8">
        <v>0</v>
      </c>
      <c r="W8" t="s">
        <v>165</v>
      </c>
      <c r="X8" t="s">
        <v>166</v>
      </c>
      <c r="Z8" t="s">
        <v>124</v>
      </c>
      <c r="AA8" t="s">
        <v>139</v>
      </c>
      <c r="AC8">
        <v>0.9</v>
      </c>
      <c r="AD8">
        <v>30</v>
      </c>
      <c r="AH8" t="s">
        <v>167</v>
      </c>
      <c r="AI8" s="17" t="s">
        <v>168</v>
      </c>
      <c r="AJ8" t="s">
        <v>169</v>
      </c>
      <c r="AL8" s="17" t="s">
        <v>170</v>
      </c>
    </row>
    <row r="9" ht="15" customHeight="1" spans="2:39">
      <c r="B9">
        <v>1</v>
      </c>
      <c r="C9">
        <v>2</v>
      </c>
      <c r="D9" t="s">
        <v>113</v>
      </c>
      <c r="E9" t="b">
        <f>TRUE()</f>
        <v>1</v>
      </c>
      <c r="F9" s="17" t="s">
        <v>171</v>
      </c>
      <c r="H9" t="s">
        <v>172</v>
      </c>
      <c r="J9" t="s">
        <v>173</v>
      </c>
      <c r="L9" t="s">
        <v>174</v>
      </c>
      <c r="N9" t="s">
        <v>175</v>
      </c>
      <c r="P9" t="s">
        <v>121</v>
      </c>
      <c r="S9" t="b">
        <f t="shared" si="0"/>
        <v>0</v>
      </c>
      <c r="V9">
        <v>0</v>
      </c>
      <c r="W9" t="s">
        <v>176</v>
      </c>
      <c r="X9" t="s">
        <v>177</v>
      </c>
      <c r="Z9" t="s">
        <v>124</v>
      </c>
      <c r="AA9" t="s">
        <v>178</v>
      </c>
      <c r="AC9">
        <v>0.9</v>
      </c>
      <c r="AD9">
        <v>25</v>
      </c>
      <c r="AH9" t="s">
        <v>167</v>
      </c>
      <c r="AI9" s="17" t="s">
        <v>179</v>
      </c>
      <c r="AJ9" t="s">
        <v>180</v>
      </c>
      <c r="AL9" s="17" t="s">
        <v>170</v>
      </c>
    </row>
    <row r="10" ht="15" customHeight="1" spans="2:39">
      <c r="B10">
        <v>1</v>
      </c>
      <c r="C10">
        <v>3</v>
      </c>
      <c r="D10" t="s">
        <v>113</v>
      </c>
      <c r="E10" t="b">
        <f t="shared" ref="E10:E29" si="1">FALSE()</f>
        <v>0</v>
      </c>
      <c r="F10" s="17" t="s">
        <v>181</v>
      </c>
      <c r="H10" t="s">
        <v>182</v>
      </c>
      <c r="I10" t="s">
        <v>116</v>
      </c>
      <c r="J10" t="s">
        <v>183</v>
      </c>
      <c r="L10" t="s">
        <v>184</v>
      </c>
      <c r="M10" t="s">
        <v>185</v>
      </c>
      <c r="N10" t="s">
        <v>186</v>
      </c>
      <c r="O10" t="s">
        <v>187</v>
      </c>
      <c r="P10" t="s">
        <v>121</v>
      </c>
      <c r="S10" t="b">
        <f t="shared" si="0"/>
        <v>0</v>
      </c>
      <c r="V10">
        <v>2</v>
      </c>
      <c r="W10" s="17" t="s">
        <v>188</v>
      </c>
      <c r="X10" t="s">
        <v>189</v>
      </c>
      <c r="Z10" t="s">
        <v>124</v>
      </c>
      <c r="AA10" t="s">
        <v>190</v>
      </c>
      <c r="AB10" t="s">
        <v>191</v>
      </c>
      <c r="AC10">
        <v>0.88</v>
      </c>
      <c r="AD10">
        <v>30</v>
      </c>
      <c r="AH10" s="17" t="s">
        <v>192</v>
      </c>
      <c r="AI10" s="17" t="s">
        <v>193</v>
      </c>
      <c r="AJ10" t="s">
        <v>121</v>
      </c>
      <c r="AL10" s="17" t="s">
        <v>170</v>
      </c>
    </row>
    <row r="11" ht="15" customHeight="1" spans="2:39">
      <c r="B11">
        <v>1</v>
      </c>
      <c r="C11">
        <v>4</v>
      </c>
      <c r="D11" t="s">
        <v>113</v>
      </c>
      <c r="E11" t="b">
        <f t="shared" si="1"/>
        <v>0</v>
      </c>
      <c r="F11" s="17" t="s">
        <v>194</v>
      </c>
      <c r="H11" t="s">
        <v>195</v>
      </c>
      <c r="I11" t="s">
        <v>196</v>
      </c>
      <c r="J11" t="s">
        <v>197</v>
      </c>
      <c r="L11" t="s">
        <v>198</v>
      </c>
      <c r="M11" t="s">
        <v>116</v>
      </c>
      <c r="N11" t="s">
        <v>199</v>
      </c>
      <c r="O11" t="s">
        <v>200</v>
      </c>
      <c r="P11" t="s">
        <v>121</v>
      </c>
      <c r="S11" t="b">
        <f t="shared" si="0"/>
        <v>0</v>
      </c>
      <c r="V11">
        <v>2</v>
      </c>
      <c r="W11" s="17" t="s">
        <v>201</v>
      </c>
      <c r="X11" t="s">
        <v>202</v>
      </c>
      <c r="Z11" t="s">
        <v>124</v>
      </c>
      <c r="AA11" t="s">
        <v>178</v>
      </c>
      <c r="AB11" t="s">
        <v>203</v>
      </c>
      <c r="AC11">
        <v>0.85</v>
      </c>
      <c r="AD11">
        <v>40</v>
      </c>
      <c r="AH11" s="17" t="s">
        <v>204</v>
      </c>
      <c r="AI11" s="17" t="s">
        <v>205</v>
      </c>
      <c r="AJ11" t="s">
        <v>121</v>
      </c>
      <c r="AL11" s="17" t="s">
        <v>170</v>
      </c>
    </row>
    <row r="12" ht="15" customHeight="1" spans="2:39">
      <c r="B12">
        <v>1</v>
      </c>
      <c r="C12">
        <v>5</v>
      </c>
      <c r="D12" t="s">
        <v>113</v>
      </c>
      <c r="E12" t="b">
        <f t="shared" si="1"/>
        <v>0</v>
      </c>
      <c r="F12" t="s">
        <v>206</v>
      </c>
      <c r="H12" t="s">
        <v>207</v>
      </c>
      <c r="I12" t="s">
        <v>196</v>
      </c>
      <c r="J12" t="s">
        <v>208</v>
      </c>
      <c r="L12" t="s">
        <v>209</v>
      </c>
      <c r="M12" t="s">
        <v>116</v>
      </c>
      <c r="N12" t="s">
        <v>210</v>
      </c>
      <c r="O12" t="s">
        <v>116</v>
      </c>
      <c r="P12" t="s">
        <v>121</v>
      </c>
      <c r="S12" t="b">
        <f t="shared" si="0"/>
        <v>0</v>
      </c>
      <c r="V12">
        <v>2</v>
      </c>
      <c r="W12" s="17" t="s">
        <v>211</v>
      </c>
      <c r="X12" t="s">
        <v>123</v>
      </c>
      <c r="Z12" t="s">
        <v>138</v>
      </c>
      <c r="AA12" t="s">
        <v>125</v>
      </c>
      <c r="AB12" t="s">
        <v>212</v>
      </c>
      <c r="AC12">
        <v>0.78</v>
      </c>
      <c r="AD12">
        <v>45</v>
      </c>
      <c r="AE12" t="s">
        <v>213</v>
      </c>
      <c r="AH12" s="17" t="s">
        <v>214</v>
      </c>
      <c r="AI12" t="s">
        <v>215</v>
      </c>
      <c r="AJ12" t="s">
        <v>121</v>
      </c>
      <c r="AL12" s="17" t="s">
        <v>170</v>
      </c>
    </row>
    <row r="13" ht="15" customHeight="1" spans="2:39">
      <c r="B13">
        <v>1</v>
      </c>
      <c r="C13">
        <v>6</v>
      </c>
      <c r="D13" t="s">
        <v>131</v>
      </c>
      <c r="E13" t="b">
        <f t="shared" si="1"/>
        <v>0</v>
      </c>
      <c r="F13" s="17" t="s">
        <v>216</v>
      </c>
      <c r="P13" t="s">
        <v>145</v>
      </c>
      <c r="Q13" t="s">
        <v>134</v>
      </c>
      <c r="S13" t="b">
        <f t="shared" si="0"/>
        <v>0</v>
      </c>
      <c r="V13">
        <v>2</v>
      </c>
      <c r="W13" t="s">
        <v>217</v>
      </c>
      <c r="X13" t="s">
        <v>123</v>
      </c>
      <c r="Z13" t="s">
        <v>138</v>
      </c>
      <c r="AA13" t="s">
        <v>125</v>
      </c>
      <c r="AB13" t="s">
        <v>218</v>
      </c>
      <c r="AC13">
        <v>0.75</v>
      </c>
      <c r="AD13">
        <v>60</v>
      </c>
      <c r="AE13" t="s">
        <v>213</v>
      </c>
      <c r="AH13" s="17" t="s">
        <v>219</v>
      </c>
      <c r="AI13" s="17" t="s">
        <v>220</v>
      </c>
      <c r="AJ13" t="s">
        <v>221</v>
      </c>
      <c r="AL13" s="17" t="s">
        <v>170</v>
      </c>
    </row>
    <row r="14" ht="15" customHeight="1" spans="2:39">
      <c r="B14">
        <v>1</v>
      </c>
      <c r="C14">
        <v>7</v>
      </c>
      <c r="D14" t="s">
        <v>113</v>
      </c>
      <c r="E14" t="b">
        <f t="shared" si="1"/>
        <v>0</v>
      </c>
      <c r="F14" s="17" t="s">
        <v>222</v>
      </c>
      <c r="H14" t="s">
        <v>223</v>
      </c>
      <c r="J14" t="s">
        <v>224</v>
      </c>
      <c r="K14" t="s">
        <v>185</v>
      </c>
      <c r="L14" t="s">
        <v>225</v>
      </c>
      <c r="M14" t="s">
        <v>226</v>
      </c>
      <c r="N14" s="17" t="s">
        <v>227</v>
      </c>
      <c r="O14" t="s">
        <v>116</v>
      </c>
      <c r="P14" t="s">
        <v>164</v>
      </c>
      <c r="S14" t="b">
        <f t="shared" si="0"/>
        <v>0</v>
      </c>
      <c r="V14">
        <v>2</v>
      </c>
      <c r="W14" s="17" t="s">
        <v>228</v>
      </c>
      <c r="X14" t="s">
        <v>229</v>
      </c>
      <c r="Y14" t="s">
        <v>230</v>
      </c>
      <c r="Z14" t="s">
        <v>138</v>
      </c>
      <c r="AA14" t="s">
        <v>231</v>
      </c>
      <c r="AB14" t="s">
        <v>232</v>
      </c>
      <c r="AC14">
        <v>0.78</v>
      </c>
      <c r="AD14">
        <v>60</v>
      </c>
      <c r="AH14" s="17" t="s">
        <v>233</v>
      </c>
      <c r="AI14" s="17" t="s">
        <v>234</v>
      </c>
      <c r="AJ14" t="s">
        <v>235</v>
      </c>
      <c r="AL14" s="17" t="s">
        <v>170</v>
      </c>
    </row>
    <row r="15" ht="15" customHeight="1" spans="2:39">
      <c r="B15">
        <v>1</v>
      </c>
      <c r="C15">
        <v>8</v>
      </c>
      <c r="D15" t="s">
        <v>113</v>
      </c>
      <c r="E15" t="b">
        <f t="shared" si="1"/>
        <v>0</v>
      </c>
      <c r="F15" s="17" t="s">
        <v>236</v>
      </c>
      <c r="H15" t="s">
        <v>237</v>
      </c>
      <c r="I15" t="s">
        <v>226</v>
      </c>
      <c r="J15" t="s">
        <v>238</v>
      </c>
      <c r="L15" t="s">
        <v>239</v>
      </c>
      <c r="M15" t="s">
        <v>226</v>
      </c>
      <c r="N15" t="s">
        <v>240</v>
      </c>
      <c r="O15" t="s">
        <v>196</v>
      </c>
      <c r="P15" t="s">
        <v>121</v>
      </c>
      <c r="S15" t="b">
        <f t="shared" si="0"/>
        <v>0</v>
      </c>
      <c r="V15">
        <v>2</v>
      </c>
      <c r="W15" s="17" t="s">
        <v>241</v>
      </c>
      <c r="X15" t="s">
        <v>230</v>
      </c>
      <c r="Z15" t="s">
        <v>138</v>
      </c>
      <c r="AA15" t="s">
        <v>139</v>
      </c>
      <c r="AB15" t="s">
        <v>242</v>
      </c>
      <c r="AC15">
        <v>0.78</v>
      </c>
      <c r="AD15">
        <v>75</v>
      </c>
      <c r="AH15" s="17" t="s">
        <v>243</v>
      </c>
      <c r="AI15" s="17" t="s">
        <v>244</v>
      </c>
      <c r="AJ15" t="s">
        <v>164</v>
      </c>
      <c r="AL15" s="17" t="s">
        <v>170</v>
      </c>
    </row>
    <row r="16" ht="15" customHeight="1" spans="2:39">
      <c r="B16">
        <v>1</v>
      </c>
      <c r="C16">
        <v>9</v>
      </c>
      <c r="D16" t="s">
        <v>113</v>
      </c>
      <c r="E16" t="b">
        <f t="shared" si="1"/>
        <v>0</v>
      </c>
      <c r="F16" s="17" t="s">
        <v>245</v>
      </c>
      <c r="H16" t="s">
        <v>246</v>
      </c>
      <c r="I16" t="s">
        <v>119</v>
      </c>
      <c r="J16" t="s">
        <v>247</v>
      </c>
      <c r="K16" t="s">
        <v>119</v>
      </c>
      <c r="L16" t="s">
        <v>248</v>
      </c>
      <c r="N16" t="s">
        <v>249</v>
      </c>
      <c r="O16" t="s">
        <v>185</v>
      </c>
      <c r="P16" t="s">
        <v>250</v>
      </c>
      <c r="S16" t="b">
        <f t="shared" si="0"/>
        <v>0</v>
      </c>
      <c r="V16">
        <v>2</v>
      </c>
      <c r="W16" s="17" t="s">
        <v>251</v>
      </c>
      <c r="X16" t="s">
        <v>252</v>
      </c>
      <c r="Y16" t="s">
        <v>166</v>
      </c>
      <c r="Z16" t="s">
        <v>124</v>
      </c>
      <c r="AA16" t="s">
        <v>139</v>
      </c>
      <c r="AB16" t="s">
        <v>253</v>
      </c>
      <c r="AC16">
        <v>0.85</v>
      </c>
      <c r="AD16">
        <v>40</v>
      </c>
      <c r="AH16" s="17" t="s">
        <v>254</v>
      </c>
      <c r="AI16" s="17" t="s">
        <v>255</v>
      </c>
      <c r="AJ16" t="s">
        <v>121</v>
      </c>
      <c r="AL16" s="17" t="s">
        <v>170</v>
      </c>
    </row>
    <row r="17" ht="15" customHeight="1" spans="2:38">
      <c r="B17">
        <v>1</v>
      </c>
      <c r="C17">
        <v>10</v>
      </c>
      <c r="D17" t="s">
        <v>131</v>
      </c>
      <c r="E17" t="b">
        <f t="shared" si="1"/>
        <v>0</v>
      </c>
      <c r="F17" s="17" t="s">
        <v>256</v>
      </c>
      <c r="P17" t="s">
        <v>257</v>
      </c>
      <c r="Q17" t="s">
        <v>134</v>
      </c>
      <c r="S17" t="b">
        <f t="shared" si="0"/>
        <v>0</v>
      </c>
      <c r="V17">
        <v>2</v>
      </c>
      <c r="W17" s="17" t="s">
        <v>258</v>
      </c>
      <c r="X17" t="s">
        <v>259</v>
      </c>
      <c r="Y17" t="s">
        <v>252</v>
      </c>
      <c r="Z17" t="s">
        <v>138</v>
      </c>
      <c r="AA17" t="s">
        <v>139</v>
      </c>
      <c r="AB17" t="s">
        <v>260</v>
      </c>
      <c r="AC17">
        <v>0.8</v>
      </c>
      <c r="AD17">
        <v>45</v>
      </c>
      <c r="AH17" s="17" t="s">
        <v>261</v>
      </c>
      <c r="AI17" s="17" t="s">
        <v>262</v>
      </c>
      <c r="AJ17" t="s">
        <v>263</v>
      </c>
      <c r="AL17" s="17" t="s">
        <v>170</v>
      </c>
    </row>
    <row r="18" ht="15" customHeight="1" spans="2:38">
      <c r="B18">
        <v>1</v>
      </c>
      <c r="C18">
        <v>11</v>
      </c>
      <c r="D18" t="s">
        <v>113</v>
      </c>
      <c r="E18" t="b">
        <f t="shared" si="1"/>
        <v>0</v>
      </c>
      <c r="F18" s="17" t="s">
        <v>264</v>
      </c>
      <c r="H18" t="s">
        <v>265</v>
      </c>
      <c r="I18" t="s">
        <v>119</v>
      </c>
      <c r="J18" t="s">
        <v>266</v>
      </c>
      <c r="L18" t="s">
        <v>267</v>
      </c>
      <c r="M18" t="s">
        <v>185</v>
      </c>
      <c r="N18" t="s">
        <v>268</v>
      </c>
      <c r="O18" t="s">
        <v>269</v>
      </c>
      <c r="P18" t="s">
        <v>121</v>
      </c>
      <c r="S18" t="b">
        <f t="shared" si="0"/>
        <v>0</v>
      </c>
      <c r="V18">
        <v>2</v>
      </c>
      <c r="W18" s="17" t="s">
        <v>270</v>
      </c>
      <c r="X18" t="s">
        <v>271</v>
      </c>
      <c r="Z18" t="s">
        <v>138</v>
      </c>
      <c r="AA18" t="s">
        <v>139</v>
      </c>
      <c r="AB18" t="s">
        <v>253</v>
      </c>
      <c r="AC18">
        <v>0.8</v>
      </c>
      <c r="AD18">
        <v>40</v>
      </c>
      <c r="AH18" s="17" t="s">
        <v>272</v>
      </c>
      <c r="AI18" s="17" t="s">
        <v>273</v>
      </c>
      <c r="AJ18" t="s">
        <v>121</v>
      </c>
      <c r="AL18" s="17" t="s">
        <v>170</v>
      </c>
    </row>
    <row r="19" ht="15" customHeight="1" spans="2:38">
      <c r="B19">
        <v>1</v>
      </c>
      <c r="C19">
        <v>12</v>
      </c>
      <c r="D19" t="s">
        <v>131</v>
      </c>
      <c r="E19" t="b">
        <f t="shared" si="1"/>
        <v>0</v>
      </c>
      <c r="F19" s="17" t="s">
        <v>274</v>
      </c>
      <c r="P19" t="s">
        <v>275</v>
      </c>
      <c r="Q19" t="s">
        <v>134</v>
      </c>
      <c r="S19" t="b">
        <f t="shared" si="0"/>
        <v>0</v>
      </c>
      <c r="V19">
        <v>2</v>
      </c>
      <c r="W19" s="17" t="s">
        <v>276</v>
      </c>
      <c r="X19" t="s">
        <v>277</v>
      </c>
      <c r="Y19" t="s">
        <v>271</v>
      </c>
      <c r="Z19" t="s">
        <v>138</v>
      </c>
      <c r="AA19" t="s">
        <v>139</v>
      </c>
      <c r="AB19" t="s">
        <v>260</v>
      </c>
      <c r="AC19">
        <v>0.78</v>
      </c>
      <c r="AD19">
        <v>45</v>
      </c>
      <c r="AH19" s="17" t="s">
        <v>278</v>
      </c>
      <c r="AI19" s="17" t="s">
        <v>279</v>
      </c>
      <c r="AJ19" t="s">
        <v>275</v>
      </c>
      <c r="AL19" s="17" t="s">
        <v>170</v>
      </c>
    </row>
    <row r="20" ht="15" customHeight="1" spans="2:38">
      <c r="B20">
        <v>1</v>
      </c>
      <c r="C20">
        <v>13</v>
      </c>
      <c r="D20" t="s">
        <v>113</v>
      </c>
      <c r="E20" t="b">
        <f t="shared" si="1"/>
        <v>0</v>
      </c>
      <c r="F20" t="s">
        <v>280</v>
      </c>
      <c r="H20" t="s">
        <v>246</v>
      </c>
      <c r="J20" t="s">
        <v>249</v>
      </c>
      <c r="K20" t="s">
        <v>119</v>
      </c>
      <c r="L20" t="s">
        <v>281</v>
      </c>
      <c r="M20" t="s">
        <v>116</v>
      </c>
      <c r="N20" t="s">
        <v>282</v>
      </c>
      <c r="O20" t="s">
        <v>283</v>
      </c>
      <c r="P20" t="s">
        <v>164</v>
      </c>
      <c r="S20" t="b">
        <f t="shared" si="0"/>
        <v>0</v>
      </c>
      <c r="V20">
        <v>2</v>
      </c>
      <c r="W20" t="s">
        <v>284</v>
      </c>
      <c r="X20" t="s">
        <v>285</v>
      </c>
      <c r="Y20" t="s">
        <v>271</v>
      </c>
      <c r="Z20" t="s">
        <v>124</v>
      </c>
      <c r="AA20" t="s">
        <v>139</v>
      </c>
      <c r="AB20" t="s">
        <v>283</v>
      </c>
      <c r="AC20">
        <v>0.82</v>
      </c>
      <c r="AD20">
        <v>40</v>
      </c>
      <c r="AH20" s="17" t="s">
        <v>286</v>
      </c>
      <c r="AI20" t="s">
        <v>287</v>
      </c>
      <c r="AJ20" t="s">
        <v>121</v>
      </c>
      <c r="AL20" s="17" t="s">
        <v>170</v>
      </c>
    </row>
    <row r="21" ht="15" customHeight="1" spans="2:38">
      <c r="B21">
        <v>1</v>
      </c>
      <c r="C21">
        <v>14</v>
      </c>
      <c r="D21" t="s">
        <v>131</v>
      </c>
      <c r="E21" t="b">
        <f t="shared" si="1"/>
        <v>0</v>
      </c>
      <c r="F21" s="17" t="s">
        <v>288</v>
      </c>
      <c r="P21" t="s">
        <v>289</v>
      </c>
      <c r="Q21" t="s">
        <v>134</v>
      </c>
      <c r="S21" t="b">
        <f t="shared" si="0"/>
        <v>0</v>
      </c>
      <c r="V21">
        <v>2</v>
      </c>
      <c r="W21" s="17" t="s">
        <v>290</v>
      </c>
      <c r="X21" t="s">
        <v>137</v>
      </c>
      <c r="Y21" t="s">
        <v>230</v>
      </c>
      <c r="Z21" t="s">
        <v>138</v>
      </c>
      <c r="AA21" t="s">
        <v>139</v>
      </c>
      <c r="AB21" t="s">
        <v>291</v>
      </c>
      <c r="AC21">
        <v>0.72</v>
      </c>
      <c r="AD21">
        <v>90</v>
      </c>
      <c r="AE21" t="s">
        <v>292</v>
      </c>
      <c r="AH21" s="17" t="s">
        <v>293</v>
      </c>
      <c r="AI21" s="17" t="s">
        <v>294</v>
      </c>
      <c r="AJ21" t="s">
        <v>289</v>
      </c>
      <c r="AL21" s="17" t="s">
        <v>170</v>
      </c>
    </row>
    <row r="22" ht="15" customHeight="1" spans="2:38">
      <c r="B22">
        <v>1</v>
      </c>
      <c r="C22">
        <v>15</v>
      </c>
      <c r="D22" t="s">
        <v>113</v>
      </c>
      <c r="E22" t="b">
        <f t="shared" si="1"/>
        <v>0</v>
      </c>
      <c r="F22" s="17" t="s">
        <v>295</v>
      </c>
      <c r="H22" t="s">
        <v>246</v>
      </c>
      <c r="J22" t="s">
        <v>296</v>
      </c>
      <c r="K22" t="s">
        <v>116</v>
      </c>
      <c r="L22" t="s">
        <v>297</v>
      </c>
      <c r="M22" t="s">
        <v>116</v>
      </c>
      <c r="N22" t="s">
        <v>298</v>
      </c>
      <c r="O22" t="s">
        <v>226</v>
      </c>
      <c r="P22" t="s">
        <v>164</v>
      </c>
      <c r="S22" t="b">
        <f t="shared" si="0"/>
        <v>0</v>
      </c>
      <c r="V22">
        <v>2</v>
      </c>
      <c r="W22" s="17" t="s">
        <v>299</v>
      </c>
      <c r="X22" t="s">
        <v>137</v>
      </c>
      <c r="Y22" t="s">
        <v>285</v>
      </c>
      <c r="Z22" t="s">
        <v>138</v>
      </c>
      <c r="AA22" t="s">
        <v>139</v>
      </c>
      <c r="AB22" t="s">
        <v>300</v>
      </c>
      <c r="AC22">
        <v>0.7</v>
      </c>
      <c r="AD22">
        <v>90</v>
      </c>
      <c r="AE22" t="s">
        <v>292</v>
      </c>
      <c r="AH22" s="17" t="s">
        <v>301</v>
      </c>
      <c r="AI22" s="17" t="s">
        <v>302</v>
      </c>
      <c r="AJ22" t="s">
        <v>164</v>
      </c>
      <c r="AL22" s="17" t="s">
        <v>170</v>
      </c>
    </row>
    <row r="23" ht="15" customHeight="1" spans="2:38">
      <c r="B23">
        <v>1</v>
      </c>
      <c r="C23">
        <v>16</v>
      </c>
      <c r="D23" t="s">
        <v>113</v>
      </c>
      <c r="E23" t="b">
        <f t="shared" si="1"/>
        <v>0</v>
      </c>
      <c r="F23" s="17" t="s">
        <v>303</v>
      </c>
      <c r="H23" t="s">
        <v>304</v>
      </c>
      <c r="J23" t="s">
        <v>305</v>
      </c>
      <c r="K23" t="s">
        <v>196</v>
      </c>
      <c r="L23" t="s">
        <v>306</v>
      </c>
      <c r="M23" t="s">
        <v>196</v>
      </c>
      <c r="N23" t="s">
        <v>307</v>
      </c>
      <c r="O23" t="s">
        <v>116</v>
      </c>
      <c r="P23" t="s">
        <v>164</v>
      </c>
      <c r="S23" t="b">
        <f t="shared" si="0"/>
        <v>0</v>
      </c>
      <c r="V23">
        <v>2</v>
      </c>
      <c r="W23" s="17" t="s">
        <v>308</v>
      </c>
      <c r="X23" t="s">
        <v>309</v>
      </c>
      <c r="Y23" t="s">
        <v>310</v>
      </c>
      <c r="Z23" t="s">
        <v>124</v>
      </c>
      <c r="AA23" t="s">
        <v>125</v>
      </c>
      <c r="AB23" t="s">
        <v>212</v>
      </c>
      <c r="AC23">
        <v>0.85</v>
      </c>
      <c r="AD23">
        <v>45</v>
      </c>
      <c r="AH23" s="17" t="s">
        <v>311</v>
      </c>
      <c r="AI23" s="17" t="s">
        <v>312</v>
      </c>
      <c r="AJ23" t="s">
        <v>164</v>
      </c>
      <c r="AL23" s="17" t="s">
        <v>170</v>
      </c>
    </row>
    <row r="24" ht="15" customHeight="1" spans="2:38">
      <c r="B24">
        <v>1</v>
      </c>
      <c r="C24">
        <v>17</v>
      </c>
      <c r="D24" t="s">
        <v>113</v>
      </c>
      <c r="E24" t="b">
        <f t="shared" si="1"/>
        <v>0</v>
      </c>
      <c r="F24" s="17" t="s">
        <v>313</v>
      </c>
      <c r="H24" t="s">
        <v>314</v>
      </c>
      <c r="J24" t="s">
        <v>315</v>
      </c>
      <c r="K24" t="s">
        <v>316</v>
      </c>
      <c r="L24" t="s">
        <v>317</v>
      </c>
      <c r="M24" t="s">
        <v>185</v>
      </c>
      <c r="N24" t="s">
        <v>318</v>
      </c>
      <c r="O24" t="s">
        <v>319</v>
      </c>
      <c r="P24" t="s">
        <v>164</v>
      </c>
      <c r="S24" t="b">
        <f t="shared" si="0"/>
        <v>0</v>
      </c>
      <c r="V24">
        <v>2</v>
      </c>
      <c r="W24" t="s">
        <v>320</v>
      </c>
      <c r="X24" t="s">
        <v>321</v>
      </c>
      <c r="Z24" t="s">
        <v>138</v>
      </c>
      <c r="AA24" t="s">
        <v>125</v>
      </c>
      <c r="AB24" t="s">
        <v>322</v>
      </c>
      <c r="AC24">
        <v>0.78</v>
      </c>
      <c r="AD24">
        <v>60</v>
      </c>
      <c r="AH24" s="17" t="s">
        <v>323</v>
      </c>
      <c r="AI24" s="17" t="s">
        <v>324</v>
      </c>
      <c r="AJ24" t="s">
        <v>164</v>
      </c>
      <c r="AL24" s="17" t="s">
        <v>170</v>
      </c>
    </row>
    <row r="25" ht="15" customHeight="1" spans="2:38">
      <c r="B25">
        <v>1</v>
      </c>
      <c r="C25">
        <v>18</v>
      </c>
      <c r="D25" t="s">
        <v>146</v>
      </c>
      <c r="E25" t="b">
        <f t="shared" si="1"/>
        <v>0</v>
      </c>
      <c r="F25" s="17" t="s">
        <v>325</v>
      </c>
      <c r="S25" t="b">
        <f t="shared" si="0"/>
        <v>0</v>
      </c>
      <c r="U25" t="s">
        <v>326</v>
      </c>
      <c r="V25">
        <v>2</v>
      </c>
      <c r="W25" s="17" t="s">
        <v>327</v>
      </c>
      <c r="X25" t="s">
        <v>151</v>
      </c>
      <c r="Z25" t="s">
        <v>124</v>
      </c>
      <c r="AA25" t="s">
        <v>125</v>
      </c>
      <c r="AB25" t="s">
        <v>212</v>
      </c>
      <c r="AC25">
        <v>0.8</v>
      </c>
      <c r="AD25">
        <v>60</v>
      </c>
      <c r="AH25" s="17" t="s">
        <v>328</v>
      </c>
      <c r="AI25" s="17" t="s">
        <v>329</v>
      </c>
      <c r="AJ25" s="17" t="s">
        <v>330</v>
      </c>
      <c r="AL25" s="17" t="s">
        <v>170</v>
      </c>
    </row>
    <row r="26" ht="15" customHeight="1" spans="2:38">
      <c r="B26">
        <v>1</v>
      </c>
      <c r="C26">
        <v>19</v>
      </c>
      <c r="D26" t="s">
        <v>113</v>
      </c>
      <c r="E26" t="b">
        <f t="shared" si="1"/>
        <v>0</v>
      </c>
      <c r="F26" s="17" t="s">
        <v>331</v>
      </c>
      <c r="H26" t="s">
        <v>332</v>
      </c>
      <c r="I26" t="s">
        <v>116</v>
      </c>
      <c r="J26" t="s">
        <v>333</v>
      </c>
      <c r="K26" t="s">
        <v>116</v>
      </c>
      <c r="L26" t="s">
        <v>334</v>
      </c>
      <c r="N26" t="s">
        <v>335</v>
      </c>
      <c r="O26" t="s">
        <v>116</v>
      </c>
      <c r="P26" t="s">
        <v>250</v>
      </c>
      <c r="S26" t="b">
        <f t="shared" si="0"/>
        <v>0</v>
      </c>
      <c r="V26">
        <v>2</v>
      </c>
      <c r="W26" s="17" t="s">
        <v>336</v>
      </c>
      <c r="X26" t="s">
        <v>337</v>
      </c>
      <c r="Y26" t="s">
        <v>151</v>
      </c>
      <c r="Z26" t="s">
        <v>138</v>
      </c>
      <c r="AA26" t="s">
        <v>139</v>
      </c>
      <c r="AB26" t="s">
        <v>338</v>
      </c>
      <c r="AC26">
        <v>0.78</v>
      </c>
      <c r="AD26">
        <v>45</v>
      </c>
      <c r="AE26" t="s">
        <v>339</v>
      </c>
      <c r="AH26" s="17" t="s">
        <v>340</v>
      </c>
      <c r="AI26" s="17" t="s">
        <v>341</v>
      </c>
      <c r="AJ26" t="s">
        <v>164</v>
      </c>
      <c r="AL26" s="17" t="s">
        <v>170</v>
      </c>
    </row>
    <row r="27" ht="15" customHeight="1" spans="2:38">
      <c r="B27">
        <v>1</v>
      </c>
      <c r="C27">
        <v>20</v>
      </c>
      <c r="D27" t="s">
        <v>131</v>
      </c>
      <c r="E27" t="b">
        <f t="shared" si="1"/>
        <v>0</v>
      </c>
      <c r="F27" s="17" t="s">
        <v>342</v>
      </c>
      <c r="P27" t="s">
        <v>343</v>
      </c>
      <c r="Q27" t="s">
        <v>344</v>
      </c>
      <c r="S27" t="b">
        <f t="shared" si="0"/>
        <v>0</v>
      </c>
      <c r="V27">
        <v>2</v>
      </c>
      <c r="W27" s="17" t="s">
        <v>345</v>
      </c>
      <c r="X27" t="s">
        <v>337</v>
      </c>
      <c r="Y27" t="s">
        <v>346</v>
      </c>
      <c r="Z27" t="s">
        <v>138</v>
      </c>
      <c r="AA27" t="s">
        <v>139</v>
      </c>
      <c r="AB27" t="s">
        <v>347</v>
      </c>
      <c r="AC27">
        <v>0.75</v>
      </c>
      <c r="AD27">
        <v>45</v>
      </c>
      <c r="AE27" t="s">
        <v>339</v>
      </c>
      <c r="AH27" s="17" t="s">
        <v>348</v>
      </c>
      <c r="AI27" s="17" t="s">
        <v>349</v>
      </c>
      <c r="AJ27" t="s">
        <v>350</v>
      </c>
      <c r="AL27" s="17" t="s">
        <v>170</v>
      </c>
    </row>
    <row r="28" ht="15" customHeight="1" spans="2:38">
      <c r="B28">
        <v>1</v>
      </c>
      <c r="C28">
        <v>21</v>
      </c>
      <c r="D28" t="s">
        <v>113</v>
      </c>
      <c r="E28" t="b">
        <f t="shared" si="1"/>
        <v>0</v>
      </c>
      <c r="F28" s="17" t="s">
        <v>351</v>
      </c>
      <c r="H28" s="17" t="s">
        <v>352</v>
      </c>
      <c r="I28" t="s">
        <v>116</v>
      </c>
      <c r="J28" s="17" t="s">
        <v>353</v>
      </c>
      <c r="L28" s="17" t="s">
        <v>354</v>
      </c>
      <c r="M28" t="s">
        <v>116</v>
      </c>
      <c r="N28" s="17" t="s">
        <v>355</v>
      </c>
      <c r="O28" t="s">
        <v>119</v>
      </c>
      <c r="P28" t="s">
        <v>121</v>
      </c>
      <c r="S28" t="b">
        <f t="shared" si="0"/>
        <v>0</v>
      </c>
      <c r="V28">
        <v>2</v>
      </c>
      <c r="W28" s="17" t="s">
        <v>356</v>
      </c>
      <c r="X28" t="s">
        <v>357</v>
      </c>
      <c r="Z28" t="s">
        <v>138</v>
      </c>
      <c r="AA28" t="s">
        <v>231</v>
      </c>
      <c r="AB28" t="s">
        <v>358</v>
      </c>
      <c r="AC28">
        <v>0.8</v>
      </c>
      <c r="AD28">
        <v>50</v>
      </c>
      <c r="AH28" s="17" t="s">
        <v>359</v>
      </c>
      <c r="AI28" s="17" t="s">
        <v>360</v>
      </c>
      <c r="AJ28" t="s">
        <v>121</v>
      </c>
      <c r="AL28" s="17" t="s">
        <v>170</v>
      </c>
    </row>
    <row r="29" ht="15" customHeight="1" spans="2:38">
      <c r="B29">
        <v>1</v>
      </c>
      <c r="C29">
        <v>22</v>
      </c>
      <c r="D29" t="s">
        <v>113</v>
      </c>
      <c r="E29" t="b">
        <f t="shared" si="1"/>
        <v>0</v>
      </c>
      <c r="F29" s="17" t="s">
        <v>361</v>
      </c>
      <c r="H29" t="s">
        <v>362</v>
      </c>
      <c r="I29" t="s">
        <v>119</v>
      </c>
      <c r="J29" t="s">
        <v>363</v>
      </c>
      <c r="L29" t="s">
        <v>364</v>
      </c>
      <c r="M29" t="s">
        <v>185</v>
      </c>
      <c r="N29" t="s">
        <v>365</v>
      </c>
      <c r="O29" t="s">
        <v>366</v>
      </c>
      <c r="P29" t="s">
        <v>121</v>
      </c>
      <c r="S29" t="b">
        <f t="shared" si="0"/>
        <v>0</v>
      </c>
      <c r="V29">
        <v>2</v>
      </c>
      <c r="W29" s="17" t="s">
        <v>367</v>
      </c>
      <c r="X29" t="s">
        <v>368</v>
      </c>
      <c r="Y29" t="s">
        <v>357</v>
      </c>
      <c r="Z29" t="s">
        <v>138</v>
      </c>
      <c r="AA29" t="s">
        <v>139</v>
      </c>
      <c r="AB29" t="s">
        <v>369</v>
      </c>
      <c r="AC29">
        <v>0.82</v>
      </c>
      <c r="AD29">
        <v>60</v>
      </c>
      <c r="AH29" s="17" t="s">
        <v>370</v>
      </c>
      <c r="AI29" s="17" t="s">
        <v>371</v>
      </c>
      <c r="AJ29" t="s">
        <v>164</v>
      </c>
      <c r="AL29" s="17" t="s">
        <v>170</v>
      </c>
    </row>
    <row r="30" ht="15" customHeight="1" spans="2:38">
      <c r="B30">
        <v>2</v>
      </c>
      <c r="C30">
        <v>23</v>
      </c>
      <c r="D30" t="s">
        <v>131</v>
      </c>
      <c r="E30" t="b">
        <v>0</v>
      </c>
      <c r="F30" t="s">
        <v>372</v>
      </c>
      <c r="P30" t="s">
        <v>373</v>
      </c>
      <c r="Q30" t="s">
        <v>374</v>
      </c>
      <c r="S30" t="b">
        <v>0</v>
      </c>
      <c r="V30">
        <v>2</v>
      </c>
      <c r="W30" t="s">
        <v>375</v>
      </c>
      <c r="X30" t="s">
        <v>230</v>
      </c>
      <c r="Y30" t="s">
        <v>346</v>
      </c>
      <c r="Z30" t="s">
        <v>138</v>
      </c>
      <c r="AA30" t="s">
        <v>139</v>
      </c>
      <c r="AB30" t="s">
        <v>376</v>
      </c>
      <c r="AC30">
        <v>0.72</v>
      </c>
      <c r="AD30">
        <v>100</v>
      </c>
      <c r="AH30" t="s">
        <v>377</v>
      </c>
      <c r="AI30" t="s">
        <v>378</v>
      </c>
      <c r="AJ30" t="s">
        <v>379</v>
      </c>
      <c r="AL30" s="17" t="s">
        <v>170</v>
      </c>
    </row>
    <row r="31" ht="15" customHeight="1" spans="2:38">
      <c r="B31">
        <v>2</v>
      </c>
      <c r="C31">
        <v>24</v>
      </c>
      <c r="D31" t="s">
        <v>113</v>
      </c>
      <c r="E31" t="b">
        <v>0</v>
      </c>
      <c r="F31" t="s">
        <v>380</v>
      </c>
      <c r="H31" t="s">
        <v>381</v>
      </c>
      <c r="I31" t="s">
        <v>185</v>
      </c>
      <c r="J31" t="s">
        <v>207</v>
      </c>
      <c r="L31" t="s">
        <v>208</v>
      </c>
      <c r="M31" t="s">
        <v>116</v>
      </c>
      <c r="N31" t="s">
        <v>282</v>
      </c>
      <c r="O31" t="s">
        <v>226</v>
      </c>
      <c r="P31" t="s">
        <v>121</v>
      </c>
      <c r="S31" t="b">
        <v>0</v>
      </c>
      <c r="V31">
        <v>2</v>
      </c>
      <c r="W31" t="s">
        <v>382</v>
      </c>
      <c r="X31" t="s">
        <v>202</v>
      </c>
      <c r="Y31" t="s">
        <v>123</v>
      </c>
      <c r="Z31" t="s">
        <v>152</v>
      </c>
      <c r="AA31" t="s">
        <v>178</v>
      </c>
      <c r="AB31" t="s">
        <v>383</v>
      </c>
      <c r="AC31">
        <v>0.65</v>
      </c>
      <c r="AD31">
        <v>60</v>
      </c>
      <c r="AH31" t="s">
        <v>384</v>
      </c>
      <c r="AI31" t="s">
        <v>385</v>
      </c>
      <c r="AJ31" t="s">
        <v>121</v>
      </c>
      <c r="AL31" s="17" t="s">
        <v>170</v>
      </c>
    </row>
    <row r="32" ht="15" customHeight="1" spans="2:38">
      <c r="B32">
        <v>2</v>
      </c>
      <c r="C32">
        <v>25</v>
      </c>
      <c r="D32" t="s">
        <v>131</v>
      </c>
      <c r="E32" t="b">
        <v>0</v>
      </c>
      <c r="F32" t="s">
        <v>386</v>
      </c>
      <c r="P32" t="s">
        <v>289</v>
      </c>
      <c r="Q32" t="s">
        <v>134</v>
      </c>
      <c r="S32" t="b">
        <v>0</v>
      </c>
      <c r="V32">
        <v>2</v>
      </c>
      <c r="W32" t="s">
        <v>387</v>
      </c>
      <c r="X32" t="s">
        <v>230</v>
      </c>
      <c r="Y32" t="s">
        <v>271</v>
      </c>
      <c r="Z32" t="s">
        <v>152</v>
      </c>
      <c r="AA32" t="s">
        <v>139</v>
      </c>
      <c r="AB32" t="s">
        <v>260</v>
      </c>
      <c r="AC32">
        <v>0.7</v>
      </c>
      <c r="AD32">
        <v>120</v>
      </c>
      <c r="AH32" t="s">
        <v>388</v>
      </c>
      <c r="AI32" t="s">
        <v>389</v>
      </c>
      <c r="AJ32" t="s">
        <v>289</v>
      </c>
      <c r="AL32" s="17" t="s">
        <v>170</v>
      </c>
    </row>
    <row r="33" ht="15" customHeight="1" spans="2:38">
      <c r="B33">
        <v>2</v>
      </c>
      <c r="C33">
        <v>26</v>
      </c>
      <c r="D33" t="s">
        <v>113</v>
      </c>
      <c r="E33" t="b">
        <v>0</v>
      </c>
      <c r="F33" t="s">
        <v>390</v>
      </c>
      <c r="H33" t="s">
        <v>391</v>
      </c>
      <c r="I33" t="s">
        <v>392</v>
      </c>
      <c r="J33" t="s">
        <v>393</v>
      </c>
      <c r="L33" t="s">
        <v>394</v>
      </c>
      <c r="M33" t="s">
        <v>226</v>
      </c>
      <c r="N33" t="s">
        <v>395</v>
      </c>
      <c r="O33" t="s">
        <v>116</v>
      </c>
      <c r="P33" t="s">
        <v>121</v>
      </c>
      <c r="S33" t="b">
        <v>0</v>
      </c>
      <c r="V33">
        <v>2</v>
      </c>
      <c r="W33" t="s">
        <v>396</v>
      </c>
      <c r="X33" t="s">
        <v>397</v>
      </c>
      <c r="Z33" t="s">
        <v>138</v>
      </c>
      <c r="AA33" t="s">
        <v>178</v>
      </c>
      <c r="AB33" t="s">
        <v>398</v>
      </c>
      <c r="AC33">
        <v>0.75</v>
      </c>
      <c r="AD33">
        <v>45</v>
      </c>
      <c r="AH33" t="s">
        <v>399</v>
      </c>
      <c r="AI33" t="s">
        <v>400</v>
      </c>
      <c r="AJ33" t="s">
        <v>250</v>
      </c>
      <c r="AL33" s="17" t="s">
        <v>170</v>
      </c>
    </row>
    <row r="34" ht="15" customHeight="1" spans="2:38">
      <c r="B34">
        <v>2</v>
      </c>
      <c r="C34">
        <v>27</v>
      </c>
      <c r="D34" t="s">
        <v>131</v>
      </c>
      <c r="E34" t="b">
        <v>0</v>
      </c>
      <c r="F34" t="s">
        <v>401</v>
      </c>
      <c r="P34" t="s">
        <v>402</v>
      </c>
      <c r="Q34" t="s">
        <v>403</v>
      </c>
      <c r="S34" t="b">
        <v>0</v>
      </c>
      <c r="V34">
        <v>2</v>
      </c>
      <c r="W34" t="s">
        <v>404</v>
      </c>
      <c r="X34" t="s">
        <v>177</v>
      </c>
      <c r="Y34" t="s">
        <v>405</v>
      </c>
      <c r="Z34" t="s">
        <v>138</v>
      </c>
      <c r="AA34" t="s">
        <v>178</v>
      </c>
      <c r="AB34" t="s">
        <v>191</v>
      </c>
      <c r="AC34">
        <v>0.72</v>
      </c>
      <c r="AD34">
        <v>60</v>
      </c>
      <c r="AH34" t="s">
        <v>406</v>
      </c>
      <c r="AI34" t="s">
        <v>407</v>
      </c>
      <c r="AJ34" t="s">
        <v>408</v>
      </c>
      <c r="AL34" s="17" t="s">
        <v>170</v>
      </c>
    </row>
    <row r="35" ht="15" customHeight="1" spans="2:38">
      <c r="B35">
        <v>2</v>
      </c>
      <c r="C35">
        <v>28</v>
      </c>
      <c r="D35" t="s">
        <v>113</v>
      </c>
      <c r="E35" t="b">
        <v>0</v>
      </c>
      <c r="F35" t="s">
        <v>409</v>
      </c>
      <c r="H35" t="s">
        <v>410</v>
      </c>
      <c r="J35" t="s">
        <v>411</v>
      </c>
      <c r="K35" t="s">
        <v>196</v>
      </c>
      <c r="L35" t="s">
        <v>412</v>
      </c>
      <c r="M35" t="s">
        <v>413</v>
      </c>
      <c r="N35" t="s">
        <v>414</v>
      </c>
      <c r="O35" t="s">
        <v>226</v>
      </c>
      <c r="P35" t="s">
        <v>164</v>
      </c>
      <c r="S35" t="b">
        <v>0</v>
      </c>
      <c r="V35">
        <v>2</v>
      </c>
      <c r="W35" t="s">
        <v>415</v>
      </c>
      <c r="X35" t="s">
        <v>416</v>
      </c>
      <c r="Y35" t="s">
        <v>321</v>
      </c>
      <c r="Z35" t="s">
        <v>152</v>
      </c>
      <c r="AA35" t="s">
        <v>125</v>
      </c>
      <c r="AB35" t="s">
        <v>417</v>
      </c>
      <c r="AC35">
        <v>0.68</v>
      </c>
      <c r="AD35">
        <v>90</v>
      </c>
      <c r="AH35" t="s">
        <v>418</v>
      </c>
      <c r="AI35" t="s">
        <v>419</v>
      </c>
      <c r="AJ35" t="s">
        <v>121</v>
      </c>
      <c r="AL35" s="17" t="s">
        <v>170</v>
      </c>
    </row>
    <row r="36" ht="15" customHeight="1" spans="2:38">
      <c r="B36">
        <v>2</v>
      </c>
      <c r="C36">
        <v>29</v>
      </c>
      <c r="D36" t="s">
        <v>131</v>
      </c>
      <c r="E36" t="b">
        <v>0</v>
      </c>
      <c r="F36" t="s">
        <v>420</v>
      </c>
      <c r="P36" t="s">
        <v>421</v>
      </c>
      <c r="Q36" t="s">
        <v>134</v>
      </c>
      <c r="S36" t="b">
        <v>0</v>
      </c>
      <c r="V36">
        <v>2</v>
      </c>
      <c r="W36" t="s">
        <v>422</v>
      </c>
      <c r="X36" t="s">
        <v>423</v>
      </c>
      <c r="Y36" t="s">
        <v>271</v>
      </c>
      <c r="Z36" t="s">
        <v>138</v>
      </c>
      <c r="AA36" t="s">
        <v>139</v>
      </c>
      <c r="AB36" t="s">
        <v>260</v>
      </c>
      <c r="AC36">
        <v>0.75</v>
      </c>
      <c r="AD36">
        <v>45</v>
      </c>
      <c r="AE36" t="s">
        <v>424</v>
      </c>
      <c r="AH36" t="s">
        <v>425</v>
      </c>
      <c r="AI36" t="s">
        <v>426</v>
      </c>
      <c r="AJ36" t="s">
        <v>427</v>
      </c>
      <c r="AL36" s="17" t="s">
        <v>170</v>
      </c>
    </row>
    <row r="37" ht="15" customHeight="1" spans="2:38">
      <c r="B37">
        <v>2</v>
      </c>
      <c r="C37">
        <v>30</v>
      </c>
      <c r="D37" t="s">
        <v>113</v>
      </c>
      <c r="E37" t="b">
        <v>0</v>
      </c>
      <c r="F37" t="s">
        <v>428</v>
      </c>
      <c r="H37" t="s">
        <v>429</v>
      </c>
      <c r="I37" t="s">
        <v>119</v>
      </c>
      <c r="J37" t="s">
        <v>430</v>
      </c>
      <c r="L37" t="s">
        <v>431</v>
      </c>
      <c r="M37" t="s">
        <v>226</v>
      </c>
      <c r="N37" t="s">
        <v>432</v>
      </c>
      <c r="O37" t="s">
        <v>196</v>
      </c>
      <c r="P37" t="s">
        <v>121</v>
      </c>
      <c r="S37" t="b">
        <v>0</v>
      </c>
      <c r="V37">
        <v>2</v>
      </c>
      <c r="W37" t="s">
        <v>433</v>
      </c>
      <c r="X37" t="s">
        <v>434</v>
      </c>
      <c r="Y37" t="s">
        <v>337</v>
      </c>
      <c r="Z37" t="s">
        <v>138</v>
      </c>
      <c r="AA37" t="s">
        <v>139</v>
      </c>
      <c r="AB37" t="s">
        <v>435</v>
      </c>
      <c r="AC37">
        <v>0.72</v>
      </c>
      <c r="AD37">
        <v>50</v>
      </c>
      <c r="AE37" t="s">
        <v>436</v>
      </c>
      <c r="AH37" t="s">
        <v>437</v>
      </c>
      <c r="AI37" t="s">
        <v>438</v>
      </c>
      <c r="AJ37" t="s">
        <v>164</v>
      </c>
      <c r="AL37" s="17" t="s">
        <v>170</v>
      </c>
    </row>
    <row r="38" ht="15" customHeight="1" spans="2:38">
      <c r="B38">
        <v>2</v>
      </c>
      <c r="C38">
        <v>31</v>
      </c>
      <c r="D38" t="s">
        <v>131</v>
      </c>
      <c r="E38" t="b">
        <v>0</v>
      </c>
      <c r="F38" t="s">
        <v>439</v>
      </c>
      <c r="P38" t="s">
        <v>440</v>
      </c>
      <c r="Q38" t="s">
        <v>344</v>
      </c>
      <c r="S38" t="b">
        <v>0</v>
      </c>
      <c r="V38">
        <v>2</v>
      </c>
      <c r="W38" t="s">
        <v>441</v>
      </c>
      <c r="X38" t="s">
        <v>442</v>
      </c>
      <c r="Y38" t="s">
        <v>434</v>
      </c>
      <c r="Z38" t="s">
        <v>152</v>
      </c>
      <c r="AA38" t="s">
        <v>139</v>
      </c>
      <c r="AB38" t="s">
        <v>260</v>
      </c>
      <c r="AC38">
        <v>0.68</v>
      </c>
      <c r="AD38">
        <v>90</v>
      </c>
      <c r="AH38" t="s">
        <v>443</v>
      </c>
      <c r="AI38" t="s">
        <v>444</v>
      </c>
      <c r="AJ38" t="s">
        <v>445</v>
      </c>
      <c r="AL38" s="17" t="s">
        <v>170</v>
      </c>
    </row>
    <row r="39" ht="15" customHeight="1" spans="2:38">
      <c r="B39">
        <v>2</v>
      </c>
      <c r="C39">
        <v>32</v>
      </c>
      <c r="D39" t="s">
        <v>113</v>
      </c>
      <c r="E39" t="b">
        <v>0</v>
      </c>
      <c r="F39" t="s">
        <v>446</v>
      </c>
      <c r="H39" t="s">
        <v>447</v>
      </c>
      <c r="I39" t="s">
        <v>116</v>
      </c>
      <c r="J39" t="s">
        <v>448</v>
      </c>
      <c r="L39" t="s">
        <v>449</v>
      </c>
      <c r="M39" t="s">
        <v>116</v>
      </c>
      <c r="N39" t="s">
        <v>450</v>
      </c>
      <c r="O39" t="s">
        <v>116</v>
      </c>
      <c r="P39" t="s">
        <v>121</v>
      </c>
      <c r="S39" t="b">
        <v>0</v>
      </c>
      <c r="V39">
        <v>2</v>
      </c>
      <c r="W39" t="s">
        <v>451</v>
      </c>
      <c r="X39" t="s">
        <v>452</v>
      </c>
      <c r="Y39" t="s">
        <v>357</v>
      </c>
      <c r="Z39" t="s">
        <v>138</v>
      </c>
      <c r="AA39" t="s">
        <v>125</v>
      </c>
      <c r="AB39" t="s">
        <v>116</v>
      </c>
      <c r="AC39">
        <v>0.78</v>
      </c>
      <c r="AD39">
        <v>40</v>
      </c>
      <c r="AH39" t="s">
        <v>453</v>
      </c>
      <c r="AI39" t="s">
        <v>454</v>
      </c>
      <c r="AJ39" t="s">
        <v>164</v>
      </c>
      <c r="AL39" s="17" t="s">
        <v>170</v>
      </c>
    </row>
    <row r="40" ht="15" customHeight="1" spans="2:38">
      <c r="B40">
        <v>2</v>
      </c>
      <c r="C40">
        <v>33</v>
      </c>
      <c r="D40" t="s">
        <v>131</v>
      </c>
      <c r="E40" t="b">
        <v>0</v>
      </c>
      <c r="F40" t="s">
        <v>455</v>
      </c>
      <c r="P40" t="s">
        <v>275</v>
      </c>
      <c r="Q40" t="s">
        <v>134</v>
      </c>
      <c r="S40" t="b">
        <v>0</v>
      </c>
      <c r="V40">
        <v>2</v>
      </c>
      <c r="W40" t="s">
        <v>456</v>
      </c>
      <c r="X40" t="s">
        <v>457</v>
      </c>
      <c r="Y40" t="s">
        <v>368</v>
      </c>
      <c r="Z40" t="s">
        <v>138</v>
      </c>
      <c r="AA40" t="s">
        <v>139</v>
      </c>
      <c r="AB40" t="s">
        <v>458</v>
      </c>
      <c r="AC40">
        <v>0.75</v>
      </c>
      <c r="AD40">
        <v>60</v>
      </c>
      <c r="AE40" t="s">
        <v>459</v>
      </c>
      <c r="AH40" t="s">
        <v>460</v>
      </c>
      <c r="AI40" t="s">
        <v>461</v>
      </c>
      <c r="AJ40" t="s">
        <v>275</v>
      </c>
      <c r="AL40" s="17" t="s">
        <v>170</v>
      </c>
    </row>
    <row r="41" ht="15" customHeight="1" spans="2:38">
      <c r="B41">
        <v>2</v>
      </c>
      <c r="C41">
        <v>34</v>
      </c>
      <c r="D41" t="s">
        <v>113</v>
      </c>
      <c r="E41" t="b">
        <v>0</v>
      </c>
      <c r="F41" t="s">
        <v>462</v>
      </c>
      <c r="H41" t="s">
        <v>463</v>
      </c>
      <c r="I41" t="s">
        <v>119</v>
      </c>
      <c r="J41" t="s">
        <v>464</v>
      </c>
      <c r="L41" t="s">
        <v>465</v>
      </c>
      <c r="M41" t="s">
        <v>366</v>
      </c>
      <c r="N41" t="s">
        <v>466</v>
      </c>
      <c r="O41" t="s">
        <v>116</v>
      </c>
      <c r="P41" t="s">
        <v>121</v>
      </c>
      <c r="S41" t="b">
        <v>0</v>
      </c>
      <c r="V41">
        <v>2</v>
      </c>
      <c r="W41" t="s">
        <v>467</v>
      </c>
      <c r="X41" t="s">
        <v>368</v>
      </c>
      <c r="Y41" t="s">
        <v>357</v>
      </c>
      <c r="Z41" t="s">
        <v>152</v>
      </c>
      <c r="AA41" t="s">
        <v>231</v>
      </c>
      <c r="AB41" t="s">
        <v>468</v>
      </c>
      <c r="AC41">
        <v>0.7</v>
      </c>
      <c r="AD41">
        <v>60</v>
      </c>
      <c r="AH41" t="s">
        <v>469</v>
      </c>
      <c r="AI41" t="s">
        <v>470</v>
      </c>
      <c r="AJ41" t="s">
        <v>121</v>
      </c>
      <c r="AL41" s="17" t="s">
        <v>170</v>
      </c>
    </row>
    <row r="42" ht="15" customHeight="1" spans="2:38">
      <c r="B42">
        <v>2</v>
      </c>
      <c r="C42">
        <v>35</v>
      </c>
      <c r="D42" t="s">
        <v>131</v>
      </c>
      <c r="E42" t="b">
        <v>0</v>
      </c>
      <c r="F42" t="s">
        <v>471</v>
      </c>
      <c r="P42" t="s">
        <v>472</v>
      </c>
      <c r="Q42" t="s">
        <v>134</v>
      </c>
      <c r="S42" t="b">
        <v>0</v>
      </c>
      <c r="V42">
        <v>2</v>
      </c>
      <c r="W42" t="s">
        <v>473</v>
      </c>
      <c r="X42" t="s">
        <v>474</v>
      </c>
      <c r="Y42" t="s">
        <v>177</v>
      </c>
      <c r="Z42" t="s">
        <v>152</v>
      </c>
      <c r="AA42" t="s">
        <v>178</v>
      </c>
      <c r="AB42" t="s">
        <v>475</v>
      </c>
      <c r="AC42">
        <v>0.68</v>
      </c>
      <c r="AD42">
        <v>60</v>
      </c>
      <c r="AH42" t="s">
        <v>476</v>
      </c>
      <c r="AI42" t="s">
        <v>477</v>
      </c>
      <c r="AJ42" t="s">
        <v>478</v>
      </c>
      <c r="AL42" s="17" t="s">
        <v>170</v>
      </c>
    </row>
    <row r="43" ht="15" customHeight="1" spans="2:38">
      <c r="B43">
        <v>2</v>
      </c>
      <c r="C43">
        <v>36</v>
      </c>
      <c r="D43" t="s">
        <v>113</v>
      </c>
      <c r="E43" t="b">
        <v>0</v>
      </c>
      <c r="F43" t="s">
        <v>479</v>
      </c>
      <c r="H43" t="s">
        <v>480</v>
      </c>
      <c r="I43" t="s">
        <v>116</v>
      </c>
      <c r="J43" t="s">
        <v>481</v>
      </c>
      <c r="K43" t="s">
        <v>482</v>
      </c>
      <c r="L43" t="s">
        <v>483</v>
      </c>
      <c r="M43" t="s">
        <v>119</v>
      </c>
      <c r="N43" t="s">
        <v>484</v>
      </c>
      <c r="P43" t="s">
        <v>485</v>
      </c>
      <c r="S43" t="b">
        <v>0</v>
      </c>
      <c r="V43">
        <v>2</v>
      </c>
      <c r="W43" t="s">
        <v>486</v>
      </c>
      <c r="X43" t="s">
        <v>229</v>
      </c>
      <c r="Y43" t="s">
        <v>202</v>
      </c>
      <c r="Z43" t="s">
        <v>152</v>
      </c>
      <c r="AA43" t="s">
        <v>231</v>
      </c>
      <c r="AB43" t="s">
        <v>283</v>
      </c>
      <c r="AC43">
        <v>0.62</v>
      </c>
      <c r="AD43">
        <v>90</v>
      </c>
      <c r="AH43" t="s">
        <v>487</v>
      </c>
      <c r="AI43" t="s">
        <v>488</v>
      </c>
      <c r="AJ43" t="s">
        <v>250</v>
      </c>
      <c r="AL43" s="17" t="s">
        <v>170</v>
      </c>
    </row>
    <row r="44" ht="15" customHeight="1" spans="2:38">
      <c r="B44">
        <v>2</v>
      </c>
      <c r="C44">
        <v>37</v>
      </c>
      <c r="D44" t="s">
        <v>146</v>
      </c>
      <c r="E44" t="b">
        <v>0</v>
      </c>
      <c r="F44" t="s">
        <v>489</v>
      </c>
      <c r="S44" t="b">
        <v>0</v>
      </c>
      <c r="U44" t="s">
        <v>490</v>
      </c>
      <c r="V44">
        <v>3</v>
      </c>
      <c r="W44" t="s">
        <v>491</v>
      </c>
      <c r="X44" t="s">
        <v>442</v>
      </c>
      <c r="Y44" t="s">
        <v>434</v>
      </c>
      <c r="Z44" t="s">
        <v>152</v>
      </c>
      <c r="AA44" t="s">
        <v>139</v>
      </c>
      <c r="AB44" t="s">
        <v>260</v>
      </c>
      <c r="AC44">
        <v>0.68</v>
      </c>
      <c r="AD44">
        <v>150</v>
      </c>
      <c r="AE44" t="s">
        <v>436</v>
      </c>
      <c r="AH44" t="s">
        <v>492</v>
      </c>
      <c r="AI44" t="s">
        <v>493</v>
      </c>
      <c r="AJ44" t="s">
        <v>494</v>
      </c>
      <c r="AL44" s="17" t="s">
        <v>170</v>
      </c>
    </row>
    <row r="45" ht="15" customHeight="1" spans="2:38">
      <c r="B45">
        <v>2</v>
      </c>
      <c r="C45">
        <v>38</v>
      </c>
      <c r="D45" t="s">
        <v>146</v>
      </c>
      <c r="E45" t="b">
        <v>0</v>
      </c>
      <c r="F45" t="s">
        <v>495</v>
      </c>
      <c r="S45" t="b">
        <v>0</v>
      </c>
      <c r="U45" t="s">
        <v>496</v>
      </c>
      <c r="V45">
        <v>3</v>
      </c>
      <c r="W45" t="s">
        <v>497</v>
      </c>
      <c r="X45" t="s">
        <v>423</v>
      </c>
      <c r="Y45" t="s">
        <v>442</v>
      </c>
      <c r="Z45" t="s">
        <v>152</v>
      </c>
      <c r="AA45" t="s">
        <v>139</v>
      </c>
      <c r="AB45" t="s">
        <v>260</v>
      </c>
      <c r="AC45">
        <v>0.65</v>
      </c>
      <c r="AD45">
        <v>180</v>
      </c>
      <c r="AE45" t="s">
        <v>424</v>
      </c>
      <c r="AH45" t="s">
        <v>498</v>
      </c>
      <c r="AI45" t="s">
        <v>499</v>
      </c>
      <c r="AJ45" t="s">
        <v>500</v>
      </c>
      <c r="AL45" s="17" t="s">
        <v>170</v>
      </c>
    </row>
    <row r="46" ht="15" customHeight="1" spans="2:38">
      <c r="B46">
        <v>2</v>
      </c>
      <c r="C46">
        <v>39</v>
      </c>
      <c r="D46" t="s">
        <v>146</v>
      </c>
      <c r="E46" t="b">
        <v>0</v>
      </c>
      <c r="F46" t="s">
        <v>501</v>
      </c>
      <c r="S46" t="b">
        <v>0</v>
      </c>
      <c r="U46" t="s">
        <v>502</v>
      </c>
      <c r="V46">
        <v>3</v>
      </c>
      <c r="W46" t="s">
        <v>503</v>
      </c>
      <c r="X46" t="s">
        <v>457</v>
      </c>
      <c r="Y46" t="s">
        <v>230</v>
      </c>
      <c r="Z46" t="s">
        <v>152</v>
      </c>
      <c r="AA46" t="s">
        <v>139</v>
      </c>
      <c r="AB46" t="s">
        <v>458</v>
      </c>
      <c r="AC46">
        <v>0.7</v>
      </c>
      <c r="AD46">
        <v>180</v>
      </c>
      <c r="AE46" t="s">
        <v>459</v>
      </c>
      <c r="AH46" t="s">
        <v>504</v>
      </c>
      <c r="AI46" t="s">
        <v>505</v>
      </c>
      <c r="AJ46" t="s">
        <v>506</v>
      </c>
      <c r="AL46" s="17" t="s">
        <v>170</v>
      </c>
    </row>
    <row r="47" ht="15" customHeight="1" spans="2:38">
      <c r="B47">
        <v>2</v>
      </c>
      <c r="C47">
        <v>40</v>
      </c>
      <c r="D47" t="s">
        <v>146</v>
      </c>
      <c r="E47" t="b">
        <v>0</v>
      </c>
      <c r="F47" t="s">
        <v>507</v>
      </c>
      <c r="S47" t="b">
        <v>0</v>
      </c>
      <c r="U47" t="s">
        <v>508</v>
      </c>
      <c r="V47">
        <v>3</v>
      </c>
      <c r="W47" t="s">
        <v>509</v>
      </c>
      <c r="X47" t="s">
        <v>150</v>
      </c>
      <c r="Y47" t="s">
        <v>457</v>
      </c>
      <c r="Z47" t="s">
        <v>152</v>
      </c>
      <c r="AA47" t="s">
        <v>510</v>
      </c>
      <c r="AB47" t="s">
        <v>511</v>
      </c>
      <c r="AC47">
        <v>0.62</v>
      </c>
      <c r="AD47">
        <v>240</v>
      </c>
      <c r="AH47" t="s">
        <v>512</v>
      </c>
      <c r="AI47" t="s">
        <v>513</v>
      </c>
      <c r="AJ47" t="s">
        <v>514</v>
      </c>
      <c r="AL47" s="17" t="s">
        <v>170</v>
      </c>
    </row>
    <row r="48" ht="15" customHeight="1" spans="2:38">
      <c r="B48">
        <v>3</v>
      </c>
      <c r="C48">
        <v>41</v>
      </c>
      <c r="D48" t="s">
        <v>113</v>
      </c>
      <c r="E48" t="b">
        <v>0</v>
      </c>
      <c r="F48" t="s">
        <v>515</v>
      </c>
      <c r="H48" t="s">
        <v>248</v>
      </c>
      <c r="I48" t="s">
        <v>392</v>
      </c>
      <c r="J48" t="s">
        <v>516</v>
      </c>
      <c r="K48" t="s">
        <v>392</v>
      </c>
      <c r="L48" t="s">
        <v>517</v>
      </c>
      <c r="N48" t="s">
        <v>518</v>
      </c>
      <c r="O48" t="s">
        <v>226</v>
      </c>
      <c r="P48" t="s">
        <v>250</v>
      </c>
      <c r="S48" t="b">
        <v>0</v>
      </c>
      <c r="V48">
        <v>2</v>
      </c>
      <c r="W48" t="s">
        <v>519</v>
      </c>
      <c r="X48" t="s">
        <v>202</v>
      </c>
      <c r="Y48" t="s">
        <v>123</v>
      </c>
      <c r="Z48" t="s">
        <v>152</v>
      </c>
      <c r="AA48" t="s">
        <v>178</v>
      </c>
      <c r="AB48" t="s">
        <v>520</v>
      </c>
      <c r="AC48">
        <v>0.65</v>
      </c>
      <c r="AD48">
        <v>90</v>
      </c>
      <c r="AH48" t="s">
        <v>521</v>
      </c>
      <c r="AI48" t="s">
        <v>522</v>
      </c>
      <c r="AJ48" t="s">
        <v>250</v>
      </c>
      <c r="AL48" s="17" t="s">
        <v>170</v>
      </c>
    </row>
    <row r="49" ht="15" customHeight="1" spans="2:38">
      <c r="B49">
        <v>3</v>
      </c>
      <c r="C49">
        <v>42</v>
      </c>
      <c r="D49" t="s">
        <v>131</v>
      </c>
      <c r="E49" t="b">
        <v>0</v>
      </c>
      <c r="F49" t="s">
        <v>523</v>
      </c>
      <c r="P49" t="s">
        <v>524</v>
      </c>
      <c r="Q49" t="s">
        <v>344</v>
      </c>
      <c r="S49" t="b">
        <v>0</v>
      </c>
      <c r="V49">
        <v>2</v>
      </c>
      <c r="W49" t="s">
        <v>525</v>
      </c>
      <c r="X49" t="s">
        <v>416</v>
      </c>
      <c r="Y49" t="s">
        <v>321</v>
      </c>
      <c r="Z49" t="s">
        <v>526</v>
      </c>
      <c r="AA49" t="s">
        <v>527</v>
      </c>
      <c r="AB49" t="s">
        <v>528</v>
      </c>
      <c r="AC49">
        <v>0.5</v>
      </c>
      <c r="AD49">
        <v>150</v>
      </c>
      <c r="AH49" t="s">
        <v>529</v>
      </c>
      <c r="AI49" t="s">
        <v>530</v>
      </c>
      <c r="AJ49" t="s">
        <v>531</v>
      </c>
      <c r="AL49" s="17" t="s">
        <v>170</v>
      </c>
    </row>
    <row r="50" ht="15" customHeight="1" spans="2:38">
      <c r="B50">
        <v>3</v>
      </c>
      <c r="C50">
        <v>43</v>
      </c>
      <c r="D50" t="s">
        <v>113</v>
      </c>
      <c r="E50" t="b">
        <v>0</v>
      </c>
      <c r="F50" t="s">
        <v>532</v>
      </c>
      <c r="H50" t="s">
        <v>533</v>
      </c>
      <c r="I50" t="s">
        <v>196</v>
      </c>
      <c r="J50" t="s">
        <v>534</v>
      </c>
      <c r="K50" t="s">
        <v>196</v>
      </c>
      <c r="L50" t="s">
        <v>535</v>
      </c>
      <c r="N50" t="s">
        <v>536</v>
      </c>
      <c r="O50" t="s">
        <v>226</v>
      </c>
      <c r="P50" t="s">
        <v>250</v>
      </c>
      <c r="S50" t="b">
        <v>0</v>
      </c>
      <c r="V50">
        <v>2</v>
      </c>
      <c r="W50" t="s">
        <v>537</v>
      </c>
      <c r="X50" t="s">
        <v>538</v>
      </c>
      <c r="Y50" t="s">
        <v>397</v>
      </c>
      <c r="Z50" t="s">
        <v>152</v>
      </c>
      <c r="AA50" t="s">
        <v>178</v>
      </c>
      <c r="AB50" t="s">
        <v>539</v>
      </c>
      <c r="AC50">
        <v>0.65</v>
      </c>
      <c r="AD50">
        <v>90</v>
      </c>
      <c r="AH50" t="s">
        <v>540</v>
      </c>
      <c r="AI50" t="s">
        <v>541</v>
      </c>
      <c r="AJ50" t="s">
        <v>121</v>
      </c>
      <c r="AL50" s="17" t="s">
        <v>170</v>
      </c>
    </row>
    <row r="51" ht="15" customHeight="1" spans="2:38">
      <c r="B51">
        <v>3</v>
      </c>
      <c r="C51">
        <v>44</v>
      </c>
      <c r="D51" t="s">
        <v>131</v>
      </c>
      <c r="E51" t="b">
        <v>0</v>
      </c>
      <c r="F51" t="s">
        <v>542</v>
      </c>
      <c r="P51" t="s">
        <v>543</v>
      </c>
      <c r="Q51" t="s">
        <v>134</v>
      </c>
      <c r="S51" t="b">
        <v>0</v>
      </c>
      <c r="V51">
        <v>2</v>
      </c>
      <c r="W51" t="s">
        <v>544</v>
      </c>
      <c r="X51" t="s">
        <v>177</v>
      </c>
      <c r="Y51" t="s">
        <v>457</v>
      </c>
      <c r="Z51" t="s">
        <v>152</v>
      </c>
      <c r="AA51" t="s">
        <v>178</v>
      </c>
      <c r="AB51" t="s">
        <v>545</v>
      </c>
      <c r="AC51">
        <v>0.68</v>
      </c>
      <c r="AD51">
        <v>120</v>
      </c>
      <c r="AH51" t="s">
        <v>546</v>
      </c>
      <c r="AI51" t="s">
        <v>547</v>
      </c>
      <c r="AJ51" t="s">
        <v>548</v>
      </c>
      <c r="AL51" s="17" t="s">
        <v>170</v>
      </c>
    </row>
    <row r="52" ht="15" customHeight="1" spans="2:38">
      <c r="B52">
        <v>3</v>
      </c>
      <c r="C52">
        <v>45</v>
      </c>
      <c r="D52" t="s">
        <v>113</v>
      </c>
      <c r="E52" t="b">
        <v>0</v>
      </c>
      <c r="F52" t="s">
        <v>549</v>
      </c>
      <c r="H52" t="s">
        <v>550</v>
      </c>
      <c r="J52" t="s">
        <v>551</v>
      </c>
      <c r="K52" t="s">
        <v>196</v>
      </c>
      <c r="L52" t="s">
        <v>552</v>
      </c>
      <c r="M52" t="s">
        <v>116</v>
      </c>
      <c r="N52" t="s">
        <v>553</v>
      </c>
      <c r="O52" t="s">
        <v>226</v>
      </c>
      <c r="P52" t="s">
        <v>164</v>
      </c>
      <c r="S52" t="b">
        <v>0</v>
      </c>
      <c r="V52">
        <v>2</v>
      </c>
      <c r="W52" t="s">
        <v>554</v>
      </c>
      <c r="X52" t="s">
        <v>442</v>
      </c>
      <c r="Y52" t="s">
        <v>321</v>
      </c>
      <c r="Z52" t="s">
        <v>152</v>
      </c>
      <c r="AA52" t="s">
        <v>510</v>
      </c>
      <c r="AB52" t="s">
        <v>555</v>
      </c>
      <c r="AC52">
        <v>0.62</v>
      </c>
      <c r="AD52">
        <v>120</v>
      </c>
      <c r="AE52" t="s">
        <v>556</v>
      </c>
      <c r="AH52" t="s">
        <v>557</v>
      </c>
      <c r="AI52" t="s">
        <v>558</v>
      </c>
      <c r="AJ52" t="s">
        <v>559</v>
      </c>
      <c r="AL52" s="17" t="s">
        <v>170</v>
      </c>
    </row>
    <row r="53" ht="15" customHeight="1" spans="2:38">
      <c r="B53">
        <v>3</v>
      </c>
      <c r="C53">
        <v>46</v>
      </c>
      <c r="D53" t="s">
        <v>131</v>
      </c>
      <c r="E53" t="b">
        <v>0</v>
      </c>
      <c r="F53" t="s">
        <v>560</v>
      </c>
      <c r="P53" t="s">
        <v>561</v>
      </c>
      <c r="Q53" t="s">
        <v>134</v>
      </c>
      <c r="S53" t="b">
        <v>0</v>
      </c>
      <c r="V53">
        <v>2</v>
      </c>
      <c r="W53" t="s">
        <v>562</v>
      </c>
      <c r="X53" t="s">
        <v>137</v>
      </c>
      <c r="Y53" t="s">
        <v>285</v>
      </c>
      <c r="Z53" t="s">
        <v>526</v>
      </c>
      <c r="AA53" t="s">
        <v>563</v>
      </c>
      <c r="AB53" t="s">
        <v>564</v>
      </c>
      <c r="AC53">
        <v>0.45</v>
      </c>
      <c r="AD53">
        <v>120</v>
      </c>
      <c r="AH53" t="s">
        <v>565</v>
      </c>
      <c r="AI53" t="s">
        <v>566</v>
      </c>
      <c r="AJ53" t="s">
        <v>567</v>
      </c>
      <c r="AL53" s="17" t="s">
        <v>170</v>
      </c>
    </row>
    <row r="54" ht="15" customHeight="1" spans="2:38">
      <c r="B54">
        <v>3</v>
      </c>
      <c r="C54">
        <v>47</v>
      </c>
      <c r="D54" t="s">
        <v>146</v>
      </c>
      <c r="E54" t="b">
        <v>0</v>
      </c>
      <c r="F54" t="s">
        <v>568</v>
      </c>
      <c r="S54" t="b">
        <v>0</v>
      </c>
      <c r="U54" t="s">
        <v>569</v>
      </c>
      <c r="V54">
        <v>6</v>
      </c>
      <c r="W54" t="s">
        <v>570</v>
      </c>
      <c r="X54" t="s">
        <v>150</v>
      </c>
      <c r="Y54" t="s">
        <v>457</v>
      </c>
      <c r="Z54" t="s">
        <v>152</v>
      </c>
      <c r="AA54" t="s">
        <v>153</v>
      </c>
      <c r="AB54" t="s">
        <v>571</v>
      </c>
      <c r="AC54">
        <v>0.6</v>
      </c>
      <c r="AD54">
        <v>300</v>
      </c>
      <c r="AE54" t="s">
        <v>572</v>
      </c>
      <c r="AH54" t="s">
        <v>573</v>
      </c>
      <c r="AI54" t="s">
        <v>574</v>
      </c>
      <c r="AJ54" t="s">
        <v>575</v>
      </c>
      <c r="AL54" s="17" t="s">
        <v>170</v>
      </c>
    </row>
    <row r="55" ht="15" customHeight="1" spans="2:38">
      <c r="B55">
        <v>3</v>
      </c>
      <c r="C55">
        <v>48</v>
      </c>
      <c r="D55" t="s">
        <v>146</v>
      </c>
      <c r="E55" t="b">
        <v>0</v>
      </c>
      <c r="F55" t="s">
        <v>576</v>
      </c>
      <c r="S55" t="b">
        <v>0</v>
      </c>
      <c r="U55" t="s">
        <v>577</v>
      </c>
      <c r="V55">
        <v>6</v>
      </c>
      <c r="W55" t="s">
        <v>578</v>
      </c>
      <c r="X55" t="s">
        <v>150</v>
      </c>
      <c r="Y55" t="s">
        <v>457</v>
      </c>
      <c r="Z55" t="s">
        <v>526</v>
      </c>
      <c r="AA55" t="s">
        <v>153</v>
      </c>
      <c r="AB55" t="s">
        <v>579</v>
      </c>
      <c r="AC55">
        <v>0.5</v>
      </c>
      <c r="AD55">
        <v>360</v>
      </c>
      <c r="AE55" t="s">
        <v>572</v>
      </c>
      <c r="AH55" t="s">
        <v>580</v>
      </c>
      <c r="AI55" t="s">
        <v>581</v>
      </c>
      <c r="AJ55" t="s">
        <v>582</v>
      </c>
      <c r="AL55" s="17" t="s">
        <v>170</v>
      </c>
    </row>
    <row r="56" ht="15" customHeight="1" spans="2:38">
      <c r="B56">
        <v>3</v>
      </c>
      <c r="C56">
        <v>49</v>
      </c>
      <c r="D56" t="s">
        <v>146</v>
      </c>
      <c r="E56" t="b">
        <v>0</v>
      </c>
      <c r="F56" t="s">
        <v>583</v>
      </c>
      <c r="S56" t="b">
        <v>0</v>
      </c>
      <c r="U56" t="s">
        <v>584</v>
      </c>
      <c r="V56">
        <v>6</v>
      </c>
      <c r="W56" t="s">
        <v>585</v>
      </c>
      <c r="X56" t="s">
        <v>442</v>
      </c>
      <c r="Y56" t="s">
        <v>230</v>
      </c>
      <c r="Z56" t="s">
        <v>152</v>
      </c>
      <c r="AA56" t="s">
        <v>139</v>
      </c>
      <c r="AB56" t="s">
        <v>586</v>
      </c>
      <c r="AC56">
        <v>0.65</v>
      </c>
      <c r="AD56">
        <v>300</v>
      </c>
      <c r="AE56" t="s">
        <v>556</v>
      </c>
      <c r="AH56" t="s">
        <v>587</v>
      </c>
      <c r="AI56" t="s">
        <v>588</v>
      </c>
      <c r="AJ56" t="s">
        <v>589</v>
      </c>
      <c r="AL56" s="17" t="s">
        <v>170</v>
      </c>
    </row>
    <row r="57" ht="15" customHeight="1" spans="2:38">
      <c r="AL57" s="17"/>
    </row>
    <row r="58" ht="15" customHeight="1" spans="2:38">
      <c r="AL58" s="17"/>
    </row>
    <row r="59" ht="15" customHeight="1" spans="2:38">
      <c r="AL59" s="17"/>
    </row>
    <row r="60" ht="15" customHeight="1" spans="2:38">
      <c r="AL60" s="17"/>
    </row>
    <row r="61" ht="15" customHeight="1" spans="2:38">
      <c r="AL61" s="17"/>
    </row>
    <row r="62" ht="15" customHeight="1" spans="2:38">
      <c r="AL62" s="17"/>
    </row>
    <row r="63" ht="15" customHeight="1" spans="2:38">
      <c r="AL63" s="17"/>
    </row>
    <row r="64" ht="15" customHeight="1" spans="2:38">
      <c r="AL64" s="17"/>
    </row>
    <row r="65" ht="15" customHeight="1" spans="38:38">
      <c r="AL65" s="17"/>
    </row>
    <row r="66" ht="15" customHeight="1" spans="38:38">
      <c r="AL66" s="17"/>
    </row>
    <row r="67" ht="15" customHeight="1" spans="38:38">
      <c r="AL67" s="17"/>
    </row>
    <row r="68" ht="15" customHeight="1" spans="38:38">
      <c r="AL68" s="17"/>
    </row>
    <row r="69" ht="15" customHeight="1" spans="38:38">
      <c r="AL69" s="17"/>
    </row>
    <row r="70" ht="15" customHeight="1" spans="38:38">
      <c r="AL70" s="17"/>
    </row>
    <row r="71" ht="15" customHeight="1" spans="38:38">
      <c r="AL71" s="17"/>
    </row>
    <row r="72" ht="15" customHeight="1" spans="38:38">
      <c r="AL72" s="17"/>
    </row>
    <row r="73" ht="15" customHeight="1" spans="38:38">
      <c r="AL73" s="17"/>
    </row>
    <row r="74" ht="15" customHeight="1" spans="38:38">
      <c r="AL74" s="17"/>
    </row>
    <row r="75" ht="15" customHeight="1" spans="38:38">
      <c r="AL75" s="17"/>
    </row>
    <row r="76" ht="15" customHeight="1" spans="38:38">
      <c r="AL76" s="17"/>
    </row>
    <row r="77" ht="15" customHeight="1" spans="38:38">
      <c r="AL77" s="17"/>
    </row>
    <row r="78" ht="15" customHeight="1" spans="38:38">
      <c r="AL78" s="17"/>
    </row>
    <row r="79" ht="15" customHeight="1" spans="38:38">
      <c r="AL79" s="17"/>
    </row>
    <row r="80" ht="15" customHeight="1" spans="38:38">
      <c r="AL80" s="17"/>
    </row>
    <row r="81" ht="15" customHeight="1" spans="38:38">
      <c r="AL81" s="17"/>
    </row>
    <row r="82" ht="15" customHeight="1" spans="38:38">
      <c r="AL82" s="17"/>
    </row>
    <row r="83" ht="15" customHeight="1" spans="38:38">
      <c r="AL83" s="17"/>
    </row>
    <row r="84" ht="15" customHeight="1" spans="38:38">
      <c r="AL84" s="17"/>
    </row>
    <row r="85" ht="15" customHeight="1" spans="38:38">
      <c r="AL85" s="17"/>
    </row>
    <row r="86" ht="15" customHeight="1" spans="38:38">
      <c r="AL86" s="17"/>
    </row>
    <row r="87" ht="15" customHeight="1" spans="38:38">
      <c r="AL87" s="17"/>
    </row>
    <row r="88" ht="15" customHeight="1" spans="38:38">
      <c r="AL88" s="17"/>
    </row>
    <row r="89" ht="15" customHeight="1" spans="38:38">
      <c r="AL89" s="17"/>
    </row>
    <row r="90" ht="15" customHeight="1" spans="38:38">
      <c r="AL90" s="17"/>
    </row>
    <row r="91" ht="15" customHeight="1" spans="38:38">
      <c r="AL91" s="17"/>
    </row>
    <row r="92" ht="15" customHeight="1" spans="38:38">
      <c r="AL92" s="17"/>
    </row>
    <row r="93" ht="15" customHeight="1" spans="38:38">
      <c r="AL93" s="17"/>
    </row>
    <row r="94" ht="15" customHeight="1" spans="38:38">
      <c r="AL94" s="17"/>
    </row>
    <row r="95" ht="15" customHeight="1" spans="38:38">
      <c r="AL95" s="17"/>
    </row>
    <row r="96" ht="15" customHeight="1" spans="38:38">
      <c r="AL96" s="17"/>
    </row>
    <row r="97" ht="15" customHeight="1" spans="38:38">
      <c r="AL97" s="17"/>
    </row>
    <row r="98" ht="15" customHeight="1" spans="38:38">
      <c r="AL98" s="17"/>
    </row>
    <row r="99" ht="15" customHeight="1" spans="38:38">
      <c r="AL99" s="17"/>
    </row>
    <row r="100" ht="15" customHeight="1" spans="38:38">
      <c r="AL100" s="17"/>
    </row>
    <row r="101" ht="15" customHeight="1" spans="38:38">
      <c r="AL101" s="17"/>
    </row>
    <row r="102" ht="15" customHeight="1" spans="38:38">
      <c r="AL102" s="17"/>
    </row>
    <row r="103" ht="15" customHeight="1" spans="38:38">
      <c r="AL103" s="17"/>
    </row>
    <row r="104" ht="15" customHeight="1" spans="38:38">
      <c r="AL104" s="17"/>
    </row>
    <row r="105" ht="15" customHeight="1" spans="38:38">
      <c r="AL105" s="17"/>
    </row>
    <row r="106" ht="15" customHeight="1" spans="38:38">
      <c r="AL106" s="17"/>
    </row>
    <row r="107" ht="15" customHeight="1" spans="38:38">
      <c r="AL107" s="17"/>
    </row>
    <row r="108" ht="15" customHeight="1" spans="38:38">
      <c r="AL108" s="17"/>
    </row>
    <row r="109" ht="15" customHeight="1" spans="38:38">
      <c r="AL109" s="17"/>
    </row>
    <row r="110" ht="15" customHeight="1" spans="38:38">
      <c r="AL110" s="17"/>
    </row>
    <row r="111" ht="15" customHeight="1" spans="38:38">
      <c r="AL111" s="17"/>
    </row>
    <row r="112" ht="15" customHeight="1" spans="38:38">
      <c r="AL112" s="17"/>
    </row>
    <row r="113" ht="15" customHeight="1" spans="38:38">
      <c r="AL113" s="17"/>
    </row>
    <row r="114" ht="15" customHeight="1" spans="38:38">
      <c r="AL114" s="17"/>
    </row>
    <row r="115" ht="15" customHeight="1" spans="38:38">
      <c r="AL115" s="17"/>
    </row>
    <row r="116" ht="15" customHeight="1" spans="38:38">
      <c r="AL116" s="17"/>
    </row>
    <row r="117" ht="15" customHeight="1" spans="38:38">
      <c r="AL117" s="17"/>
    </row>
    <row r="118" ht="15" customHeight="1" spans="38:38">
      <c r="AL118" s="17"/>
    </row>
    <row r="119" ht="15" customHeight="1" spans="38:38">
      <c r="AL119" s="17"/>
    </row>
    <row r="120" ht="15" customHeight="1" spans="38:38">
      <c r="AL120" s="17"/>
    </row>
    <row r="121" ht="15" customHeight="1" spans="38:38">
      <c r="AL121" s="17"/>
    </row>
    <row r="122" ht="15" customHeight="1" spans="38:38">
      <c r="AL122" s="17"/>
    </row>
    <row r="123" ht="15" customHeight="1" spans="38:38">
      <c r="AL123" s="17"/>
    </row>
    <row r="124" ht="15" customHeight="1" spans="38:38">
      <c r="AL124" s="17"/>
    </row>
    <row r="125" ht="15" customHeight="1" spans="38:38">
      <c r="AL125" s="17"/>
    </row>
    <row r="126" ht="15" customHeight="1" spans="38:38">
      <c r="AL126" s="17"/>
    </row>
    <row r="127" ht="15" customHeight="1" spans="38:38">
      <c r="AL127" s="17"/>
    </row>
    <row r="128" ht="15" customHeight="1" spans="38:38">
      <c r="AL128" s="17"/>
    </row>
    <row r="129" ht="15" customHeight="1" spans="38:38">
      <c r="AL129" s="17"/>
    </row>
    <row r="130" ht="15" customHeight="1" spans="38:38">
      <c r="AL130" s="17"/>
    </row>
    <row r="131" ht="15" customHeight="1" spans="38:38">
      <c r="AL131" s="17"/>
    </row>
    <row r="132" ht="15" customHeight="1" spans="38:38">
      <c r="AL132" s="17"/>
    </row>
    <row r="133" ht="15" customHeight="1" spans="38:38">
      <c r="AL133" s="17"/>
    </row>
    <row r="134" ht="15" customHeight="1" spans="38:38">
      <c r="AL134" s="17"/>
    </row>
    <row r="135" ht="15" customHeight="1" spans="38:38">
      <c r="AL135" s="17"/>
    </row>
    <row r="136" ht="15" customHeight="1" spans="38:38">
      <c r="AL136" s="17"/>
    </row>
    <row r="137" ht="15" customHeight="1" spans="38:38">
      <c r="AL137" s="17"/>
    </row>
    <row r="138" ht="15" customHeight="1" spans="38:38">
      <c r="AL138" s="17"/>
    </row>
    <row r="139" ht="15" customHeight="1" spans="38:38">
      <c r="AL139" s="17"/>
    </row>
    <row r="140" ht="15" customHeight="1" spans="38:38">
      <c r="AL140" s="17"/>
    </row>
    <row r="141" ht="15" customHeight="1" spans="38:38">
      <c r="AL141" s="17"/>
    </row>
    <row r="142" ht="15" customHeight="1" spans="38:38">
      <c r="AL142" s="17"/>
    </row>
    <row r="143" ht="15" customHeight="1" spans="38:38">
      <c r="AL143" s="17"/>
    </row>
    <row r="144" ht="15" customHeight="1" spans="38:38">
      <c r="AL144" s="17"/>
    </row>
    <row r="145" ht="15" customHeight="1" spans="38:38">
      <c r="AL145" s="17"/>
    </row>
    <row r="146" ht="15" customHeight="1" spans="38:38">
      <c r="AL146" s="17"/>
    </row>
    <row r="147" ht="15" customHeight="1" spans="38:38">
      <c r="AL147" s="17"/>
    </row>
    <row r="148" ht="15" customHeight="1" spans="38:38">
      <c r="AL148" s="17"/>
    </row>
    <row r="149" ht="15" customHeight="1" spans="38:38">
      <c r="AL149" s="17"/>
    </row>
    <row r="150" ht="15" customHeight="1" spans="38:38">
      <c r="AL150" s="17"/>
    </row>
    <row r="151" ht="15" customHeight="1" spans="38:38">
      <c r="AL151" s="17"/>
    </row>
    <row r="152" ht="15" customHeight="1" spans="38:38">
      <c r="AL152" s="17"/>
    </row>
    <row r="153" ht="15" customHeight="1" spans="38:38">
      <c r="AL153" s="17"/>
    </row>
    <row r="154" ht="15" customHeight="1" spans="38:38">
      <c r="AL154" s="17"/>
    </row>
    <row r="155" ht="15" customHeight="1" spans="38:38">
      <c r="AL155" s="17"/>
    </row>
    <row r="156" ht="15" customHeight="1" spans="38:38">
      <c r="AL156" s="17"/>
    </row>
    <row r="157" ht="15" customHeight="1" spans="38:38">
      <c r="AL157" s="17"/>
    </row>
    <row r="158" ht="15" customHeight="1" spans="38:38">
      <c r="AL158" s="17"/>
    </row>
    <row r="159" ht="15" customHeight="1" spans="38:38">
      <c r="AL159" s="17"/>
    </row>
    <row r="160" ht="15" customHeight="1" spans="38:38">
      <c r="AL160" s="17"/>
    </row>
    <row r="161" ht="15" customHeight="1" spans="38:38">
      <c r="AL161" s="17"/>
    </row>
    <row r="162" ht="15" customHeight="1" spans="38:38">
      <c r="AL162" s="17"/>
    </row>
    <row r="163" ht="15" customHeight="1" spans="38:38">
      <c r="AL163" s="17"/>
    </row>
    <row r="164" ht="15" customHeight="1" spans="38:38">
      <c r="AL164" s="17"/>
    </row>
    <row r="165" ht="15" customHeight="1" spans="38:38">
      <c r="AL165" s="17"/>
    </row>
    <row r="166" ht="15" customHeight="1" spans="38:38">
      <c r="AL166" s="17"/>
    </row>
    <row r="167" ht="15" customHeight="1" spans="38:38">
      <c r="AL167" s="17"/>
    </row>
    <row r="168" ht="15" customHeight="1" spans="38:38">
      <c r="AL168" s="17"/>
    </row>
    <row r="169" ht="15" customHeight="1" spans="38:38">
      <c r="AL169" s="17"/>
    </row>
    <row r="170" ht="15" customHeight="1" spans="38:38">
      <c r="AL170" s="17"/>
    </row>
    <row r="171" ht="15" customHeight="1" spans="38:38">
      <c r="AL171" s="17"/>
    </row>
    <row r="172" ht="15" customHeight="1" spans="38:38">
      <c r="AL172" s="17"/>
    </row>
    <row r="173" ht="15" customHeight="1" spans="38:38">
      <c r="AL173" s="17"/>
    </row>
    <row r="174" ht="15" customHeight="1" spans="38:38">
      <c r="AL174" s="17"/>
    </row>
    <row r="175" ht="15" customHeight="1" spans="38:38">
      <c r="AL175" s="17"/>
    </row>
    <row r="176" ht="15" customHeight="1" spans="38:38">
      <c r="AL176" s="17"/>
    </row>
    <row r="177" ht="15" customHeight="1" spans="38:38">
      <c r="AL177" s="17"/>
    </row>
    <row r="178" ht="15" customHeight="1" spans="38:38">
      <c r="AL178" s="17"/>
    </row>
    <row r="179" ht="15" customHeight="1" spans="38:38">
      <c r="AL179" s="17"/>
    </row>
    <row r="180" ht="15" customHeight="1" spans="38:38">
      <c r="AL180" s="17"/>
    </row>
    <row r="181" ht="15" customHeight="1" spans="38:38">
      <c r="AL181" s="17"/>
    </row>
    <row r="182" ht="15" customHeight="1" spans="38:38">
      <c r="AL182" s="17"/>
    </row>
    <row r="183" ht="15" customHeight="1" spans="38:38">
      <c r="AL183" s="17"/>
    </row>
    <row r="184" ht="15" customHeight="1" spans="38:38">
      <c r="AL184" s="17"/>
    </row>
    <row r="185" ht="15" customHeight="1" spans="38:38">
      <c r="AL185" s="17"/>
    </row>
    <row r="186" ht="15" customHeight="1" spans="38:38">
      <c r="AL186" s="17"/>
    </row>
    <row r="187" ht="15" customHeight="1" spans="38:38">
      <c r="AL187" s="17"/>
    </row>
    <row r="188" ht="15" customHeight="1" spans="38:38">
      <c r="AL188" s="17"/>
    </row>
    <row r="189" ht="15" customHeight="1" spans="38:38">
      <c r="AL189" s="17"/>
    </row>
    <row r="190" ht="15" customHeight="1" spans="38:38">
      <c r="AL190" s="17"/>
    </row>
    <row r="191" ht="15" customHeight="1" spans="38:38">
      <c r="AL191" s="17"/>
    </row>
    <row r="192" ht="15" customHeight="1" spans="38:38">
      <c r="AL192" s="17"/>
    </row>
    <row r="193" ht="15" customHeight="1" spans="38:38">
      <c r="AL193" s="17"/>
    </row>
    <row r="194" ht="15" customHeight="1" spans="38:38">
      <c r="AL194" s="17"/>
    </row>
    <row r="195" ht="15" customHeight="1" spans="38:38">
      <c r="AL195" s="17"/>
    </row>
    <row r="196" ht="15" customHeight="1" spans="38:38">
      <c r="AL196" s="17"/>
    </row>
    <row r="197" ht="15" customHeight="1" spans="38:38">
      <c r="AL197" s="17"/>
    </row>
    <row r="198" ht="15" customHeight="1" spans="38:38">
      <c r="AL198" s="17"/>
    </row>
    <row r="199" ht="15" customHeight="1" spans="38:38">
      <c r="AL199" s="17"/>
    </row>
    <row r="200" ht="15" customHeight="1" spans="38:38">
      <c r="AL200" s="17"/>
    </row>
    <row r="201" ht="15" customHeight="1" spans="38:38">
      <c r="AL201" s="17"/>
    </row>
    <row r="202" ht="15" customHeight="1" spans="38:38">
      <c r="AL202" s="17"/>
    </row>
    <row r="203" ht="15" customHeight="1" spans="38:38">
      <c r="AL203" s="17"/>
    </row>
    <row r="204" ht="15" customHeight="1" spans="38:38">
      <c r="AL204" s="17"/>
    </row>
    <row r="205" ht="15" customHeight="1" spans="38:38">
      <c r="AL205" s="17"/>
    </row>
    <row r="206" ht="15" customHeight="1" spans="38:38">
      <c r="AL206" s="17"/>
    </row>
    <row r="207" ht="15" customHeight="1" spans="38:38">
      <c r="AL207" s="17"/>
    </row>
    <row r="208" ht="15" customHeight="1" spans="38:38">
      <c r="AL208" s="17"/>
    </row>
    <row r="209" ht="15" customHeight="1" spans="38:38">
      <c r="AL209" s="17"/>
    </row>
    <row r="210" ht="15" customHeight="1" spans="38:38">
      <c r="AL210" s="17"/>
    </row>
    <row r="211" ht="15" customHeight="1" spans="38:38">
      <c r="AL211" s="17"/>
    </row>
    <row r="212" ht="15" customHeight="1" spans="38:38">
      <c r="AL212" s="17"/>
    </row>
    <row r="213" ht="15" customHeight="1" spans="38:38">
      <c r="AL213" s="17"/>
    </row>
    <row r="214" ht="15" customHeight="1" spans="38:38">
      <c r="AL214" s="17"/>
    </row>
    <row r="215" ht="15" customHeight="1" spans="38:38">
      <c r="AL215" s="17"/>
    </row>
    <row r="216" ht="15" customHeight="1" spans="38:38">
      <c r="AL216" s="17"/>
    </row>
    <row r="217" ht="15" customHeight="1" spans="38:38">
      <c r="AL217" s="17"/>
    </row>
    <row r="218" ht="15" customHeight="1" spans="38:38">
      <c r="AL218" s="17"/>
    </row>
    <row r="219" ht="15" customHeight="1" spans="38:38">
      <c r="AL219" s="17"/>
    </row>
    <row r="220" ht="15" customHeight="1" spans="38:38">
      <c r="AL220" s="17"/>
    </row>
    <row r="221" ht="15" customHeight="1" spans="38:38">
      <c r="AL221" s="17"/>
    </row>
    <row r="222" ht="15" customHeight="1" spans="38:38">
      <c r="AL222" s="17"/>
    </row>
    <row r="223" ht="15" customHeight="1" spans="38:38">
      <c r="AL223" s="17"/>
    </row>
    <row r="224" ht="15" customHeight="1" spans="38:38">
      <c r="AL224" s="17"/>
    </row>
    <row r="225" ht="15" customHeight="1" spans="38:38">
      <c r="AL225" s="17"/>
    </row>
    <row r="226" ht="15" customHeight="1" spans="38:38">
      <c r="AL226" s="17"/>
    </row>
    <row r="227" ht="15" customHeight="1" spans="38:38">
      <c r="AL227" s="17"/>
    </row>
    <row r="228" ht="15" customHeight="1" spans="38:38">
      <c r="AL228" s="17"/>
    </row>
    <row r="229" ht="15" customHeight="1" spans="38:38">
      <c r="AL229" s="17"/>
    </row>
    <row r="230" ht="15" customHeight="1" spans="38:38">
      <c r="AL230" s="17"/>
    </row>
    <row r="231" ht="15" customHeight="1" spans="38:38">
      <c r="AL231" s="17"/>
    </row>
    <row r="232" ht="15" customHeight="1" spans="38:38">
      <c r="AL232" s="17"/>
    </row>
    <row r="233" ht="15" customHeight="1" spans="38:38">
      <c r="AL233" s="17"/>
    </row>
    <row r="234" ht="15" customHeight="1" spans="38:38">
      <c r="AL234" s="17"/>
    </row>
    <row r="235" ht="15" customHeight="1" spans="38:38">
      <c r="AL235" s="17"/>
    </row>
    <row r="236" ht="15" customHeight="1" spans="38:38">
      <c r="AL236" s="17"/>
    </row>
    <row r="237" ht="15" customHeight="1" spans="38:38">
      <c r="AL237" s="17"/>
    </row>
    <row r="238" ht="15" customHeight="1" spans="38:38">
      <c r="AL238" s="17"/>
    </row>
    <row r="239" ht="15" customHeight="1" spans="38:38">
      <c r="AL239" s="17"/>
    </row>
    <row r="240" ht="15" customHeight="1" spans="38:38">
      <c r="AL240" s="17"/>
    </row>
    <row r="241" ht="15" customHeight="1" spans="38:38">
      <c r="AL241" s="17"/>
    </row>
    <row r="242" ht="15" customHeight="1" spans="38:38">
      <c r="AL242" s="17"/>
    </row>
    <row r="243" ht="15" customHeight="1" spans="38:38">
      <c r="AL243" s="17"/>
    </row>
    <row r="244" ht="15" customHeight="1" spans="38:38">
      <c r="AL244" s="17"/>
    </row>
    <row r="245" ht="15" customHeight="1" spans="38:38">
      <c r="AL245" s="17"/>
    </row>
    <row r="246" ht="15" customHeight="1" spans="38:38">
      <c r="AL246" s="17"/>
    </row>
    <row r="247" ht="15" customHeight="1" spans="38:38">
      <c r="AL247" s="17"/>
    </row>
    <row r="248" ht="15" customHeight="1" spans="38:38">
      <c r="AL248" s="17"/>
    </row>
    <row r="249" ht="15" customHeight="1" spans="38:38">
      <c r="AL249" s="17"/>
    </row>
    <row r="250" ht="15" customHeight="1" spans="38:38">
      <c r="AL250" s="17"/>
    </row>
    <row r="251" ht="15" customHeight="1" spans="38:38">
      <c r="AL251" s="17"/>
    </row>
    <row r="252" ht="15" customHeight="1" spans="38:38">
      <c r="AL252" s="17"/>
    </row>
    <row r="253" ht="15" customHeight="1" spans="38:38">
      <c r="AL253" s="17"/>
    </row>
    <row r="254" ht="15" customHeight="1" spans="38:38">
      <c r="AL254" s="17"/>
    </row>
    <row r="255" ht="15" customHeight="1" spans="38:38">
      <c r="AL255" s="17"/>
    </row>
    <row r="256" ht="15" customHeight="1" spans="38:38">
      <c r="AL256" s="17"/>
    </row>
    <row r="257" ht="15" customHeight="1" spans="38:38">
      <c r="AL257" s="17"/>
    </row>
    <row r="258" ht="15" customHeight="1" spans="38:38">
      <c r="AL258" s="17"/>
    </row>
    <row r="259" ht="15" customHeight="1" spans="38:38">
      <c r="AL259" s="17"/>
    </row>
    <row r="260" ht="15" customHeight="1" spans="38:38">
      <c r="AL260" s="17"/>
    </row>
    <row r="261" ht="15" customHeight="1" spans="38:38">
      <c r="AL261" s="17"/>
    </row>
    <row r="262" ht="15" customHeight="1" spans="38:38">
      <c r="AL262" s="17"/>
    </row>
    <row r="263" ht="15" customHeight="1" spans="38:38">
      <c r="AL263" s="17"/>
    </row>
    <row r="264" ht="15" customHeight="1" spans="38:38">
      <c r="AL264" s="17"/>
    </row>
    <row r="265" ht="15" customHeight="1" spans="38:38">
      <c r="AL265" s="17"/>
    </row>
    <row r="266" ht="15" customHeight="1" spans="38:38">
      <c r="AL266" s="17"/>
    </row>
    <row r="267" ht="15" customHeight="1" spans="38:38">
      <c r="AL267" s="17"/>
    </row>
    <row r="268" ht="15" customHeight="1" spans="38:38">
      <c r="AL268" s="17"/>
    </row>
    <row r="269" ht="15" customHeight="1" spans="38:38">
      <c r="AL269" s="17"/>
    </row>
    <row r="270" ht="15" customHeight="1" spans="38:38">
      <c r="AL270" s="17"/>
    </row>
    <row r="271" ht="15" customHeight="1" spans="38:38">
      <c r="AL271" s="17"/>
    </row>
    <row r="272" ht="15" customHeight="1" spans="38:38">
      <c r="AL272" s="17"/>
    </row>
    <row r="273" ht="15" customHeight="1" spans="38:38">
      <c r="AL273" s="17"/>
    </row>
    <row r="274" ht="15" customHeight="1" spans="38:38">
      <c r="AL274" s="17"/>
    </row>
    <row r="275" ht="15" customHeight="1" spans="38:38">
      <c r="AL275" s="17"/>
    </row>
    <row r="276" ht="15" customHeight="1" spans="38:38">
      <c r="AL276" s="17"/>
    </row>
    <row r="277" ht="15" customHeight="1" spans="38:38">
      <c r="AL277" s="17"/>
    </row>
    <row r="278" ht="15" customHeight="1" spans="38:38">
      <c r="AL278" s="17"/>
    </row>
    <row r="279" ht="15" customHeight="1" spans="38:38">
      <c r="AL279" s="17"/>
    </row>
    <row r="280" ht="15" customHeight="1" spans="38:38">
      <c r="AL280" s="17"/>
    </row>
    <row r="281" ht="15" customHeight="1" spans="38:38">
      <c r="AL281" s="17"/>
    </row>
    <row r="282" ht="15" customHeight="1" spans="38:38">
      <c r="AL282" s="17"/>
    </row>
    <row r="283" ht="15" customHeight="1" spans="38:38">
      <c r="AL283" s="17"/>
    </row>
    <row r="284" ht="15" customHeight="1" spans="38:38">
      <c r="AL284" s="17"/>
    </row>
    <row r="285" ht="15" customHeight="1" spans="38:38">
      <c r="AL285" s="17"/>
    </row>
    <row r="286" ht="15" customHeight="1" spans="38:38">
      <c r="AL286" s="17"/>
    </row>
    <row r="287" ht="15" customHeight="1" spans="38:38">
      <c r="AL287" s="17"/>
    </row>
    <row r="288" ht="15" customHeight="1" spans="38:38">
      <c r="AL288" s="17"/>
    </row>
    <row r="289" ht="15" customHeight="1" spans="38:38">
      <c r="AL289" s="17"/>
    </row>
    <row r="290" ht="15" customHeight="1" spans="38:38">
      <c r="AL290" s="17"/>
    </row>
    <row r="291" ht="15" customHeight="1" spans="38:38">
      <c r="AL291" s="17"/>
    </row>
    <row r="292" ht="15" customHeight="1" spans="38:38">
      <c r="AL292" s="17"/>
    </row>
    <row r="293" ht="15" customHeight="1" spans="38:38">
      <c r="AL293" s="17"/>
    </row>
    <row r="294" ht="15" customHeight="1" spans="38:38">
      <c r="AL294" s="17"/>
    </row>
    <row r="295" ht="15" customHeight="1" spans="38:38">
      <c r="AL295" s="17"/>
    </row>
    <row r="296" ht="15" customHeight="1" spans="38:38">
      <c r="AL296" s="17"/>
    </row>
    <row r="297" ht="15" customHeight="1" spans="38:38">
      <c r="AL297" s="17"/>
    </row>
    <row r="298" ht="15" customHeight="1" spans="38:38">
      <c r="AL298" s="17"/>
    </row>
    <row r="299" ht="15" customHeight="1" spans="38:38">
      <c r="AL299" s="17"/>
    </row>
    <row r="300" ht="15" customHeight="1" spans="38:38">
      <c r="AL300" s="17"/>
    </row>
    <row r="301" ht="15" customHeight="1" spans="38:38">
      <c r="AL301" s="17"/>
    </row>
    <row r="302" ht="15" customHeight="1" spans="38:38">
      <c r="AL302" s="17"/>
    </row>
    <row r="303" ht="15" customHeight="1" spans="38:38">
      <c r="AL303" s="17"/>
    </row>
    <row r="304" ht="15" customHeight="1" spans="38:38">
      <c r="AL304" s="17"/>
    </row>
    <row r="305" ht="15" customHeight="1" spans="38:38">
      <c r="AL305" s="17"/>
    </row>
    <row r="306" ht="15" customHeight="1" spans="38:38">
      <c r="AL306" s="17"/>
    </row>
    <row r="307" ht="15" customHeight="1" spans="38:38">
      <c r="AL307" s="17"/>
    </row>
    <row r="308" ht="15" customHeight="1" spans="38:38">
      <c r="AL308" s="17"/>
    </row>
    <row r="309" ht="15" customHeight="1" spans="38:38">
      <c r="AL309" s="17"/>
    </row>
    <row r="310" ht="15" customHeight="1" spans="38:38">
      <c r="AL310" s="17"/>
    </row>
    <row r="311" ht="15" customHeight="1" spans="38:38">
      <c r="AL311" s="17"/>
    </row>
    <row r="312" ht="15" customHeight="1" spans="38:38">
      <c r="AL312" s="17"/>
    </row>
    <row r="313" ht="15" customHeight="1" spans="38:38">
      <c r="AL313" s="17"/>
    </row>
    <row r="314" ht="15" customHeight="1" spans="38:38">
      <c r="AL314" s="17"/>
    </row>
    <row r="315" ht="15" customHeight="1" spans="38:38">
      <c r="AL315" s="17"/>
    </row>
    <row r="316" ht="15" customHeight="1" spans="38:38">
      <c r="AL316" s="17"/>
    </row>
    <row r="317" ht="15" customHeight="1" spans="38:38">
      <c r="AL317" s="17"/>
    </row>
    <row r="318" ht="15" customHeight="1" spans="38:38">
      <c r="AL318" s="17"/>
    </row>
    <row r="319" ht="15" customHeight="1" spans="38:38">
      <c r="AL319" s="17"/>
    </row>
    <row r="320" ht="15" customHeight="1" spans="38:38">
      <c r="AL320" s="17"/>
    </row>
    <row r="321" ht="15" customHeight="1" spans="38:38">
      <c r="AL321" s="17"/>
    </row>
    <row r="322" ht="15" customHeight="1" spans="38:38">
      <c r="AL322" s="17"/>
    </row>
    <row r="323" ht="15" customHeight="1" spans="38:38">
      <c r="AL323" s="17"/>
    </row>
    <row r="324" ht="15" customHeight="1" spans="38:38">
      <c r="AL324" s="17"/>
    </row>
    <row r="325" ht="15" customHeight="1" spans="38:38">
      <c r="AL325" s="17"/>
    </row>
    <row r="326" ht="15" customHeight="1" spans="38:38">
      <c r="AL326" s="17"/>
    </row>
    <row r="327" ht="15" customHeight="1" spans="38:38">
      <c r="AL327" s="17"/>
    </row>
    <row r="328" ht="15" customHeight="1" spans="38:38">
      <c r="AL328" s="17"/>
    </row>
    <row r="329" ht="15" customHeight="1" spans="38:38">
      <c r="AL329" s="17"/>
    </row>
    <row r="330" ht="15" customHeight="1" spans="38:38">
      <c r="AL330" s="17"/>
    </row>
    <row r="331" ht="15" customHeight="1" spans="38:38">
      <c r="AL331" s="17"/>
    </row>
    <row r="332" ht="15" customHeight="1" spans="38:38">
      <c r="AL332" s="17"/>
    </row>
    <row r="333" ht="15" customHeight="1" spans="38:38">
      <c r="AL333" s="17"/>
    </row>
    <row r="334" ht="15" customHeight="1" spans="38:38">
      <c r="AL334" s="17"/>
    </row>
    <row r="335" ht="15" customHeight="1" spans="38:38">
      <c r="AL335" s="17"/>
    </row>
    <row r="336" ht="15" customHeight="1" spans="38:38">
      <c r="AL336" s="17"/>
    </row>
    <row r="337" ht="15" customHeight="1" spans="38:38">
      <c r="AL337" s="17"/>
    </row>
    <row r="338" ht="15" customHeight="1" spans="38:38">
      <c r="AL338" s="17"/>
    </row>
    <row r="339" ht="15" customHeight="1" spans="38:38">
      <c r="AL339" s="17"/>
    </row>
    <row r="340" ht="15" customHeight="1" spans="38:38">
      <c r="AL340" s="17"/>
    </row>
    <row r="341" ht="15" customHeight="1" spans="38:38">
      <c r="AL341" s="17"/>
    </row>
    <row r="342" ht="15" customHeight="1" spans="38:38">
      <c r="AL342" s="17"/>
    </row>
    <row r="343" ht="15" customHeight="1" spans="38:38">
      <c r="AL343" s="17"/>
    </row>
    <row r="344" ht="15" customHeight="1" spans="38:38">
      <c r="AL344" s="17"/>
    </row>
    <row r="345" ht="15" customHeight="1" spans="38:38">
      <c r="AL345" s="17"/>
    </row>
    <row r="346" ht="15" customHeight="1" spans="38:38">
      <c r="AL346" s="17"/>
    </row>
    <row r="347" ht="15" customHeight="1" spans="38:38">
      <c r="AL347" s="17"/>
    </row>
    <row r="348" ht="15" customHeight="1" spans="38:38">
      <c r="AL348" s="17"/>
    </row>
    <row r="349" ht="15" customHeight="1" spans="38:38">
      <c r="AL349" s="17"/>
    </row>
    <row r="350" ht="15" customHeight="1" spans="38:38">
      <c r="AL350" s="17"/>
    </row>
    <row r="351" ht="15" customHeight="1" spans="38:38">
      <c r="AL351" s="17"/>
    </row>
    <row r="352" ht="15" customHeight="1" spans="38:38">
      <c r="AL352" s="17"/>
    </row>
    <row r="353" ht="15" customHeight="1" spans="38:38">
      <c r="AL353" s="17"/>
    </row>
    <row r="354" ht="15" customHeight="1" spans="38:38">
      <c r="AL354" s="17"/>
    </row>
    <row r="355" ht="15" customHeight="1" spans="38:38">
      <c r="AL355" s="17"/>
    </row>
    <row r="356" ht="15" customHeight="1" spans="38:38">
      <c r="AL356" s="17"/>
    </row>
    <row r="357" ht="15" customHeight="1" spans="38:38">
      <c r="AL357" s="17"/>
    </row>
    <row r="358" ht="15" customHeight="1" spans="38:38">
      <c r="AL358" s="17"/>
    </row>
    <row r="359" ht="15" customHeight="1" spans="38:38">
      <c r="AL359" s="17"/>
    </row>
    <row r="360" ht="15" customHeight="1" spans="38:38">
      <c r="AL360" s="17"/>
    </row>
    <row r="361" ht="15" customHeight="1" spans="38:38">
      <c r="AL361" s="17"/>
    </row>
    <row r="362" ht="15" customHeight="1" spans="38:38">
      <c r="AL362" s="17"/>
    </row>
    <row r="363" ht="15" customHeight="1" spans="38:38">
      <c r="AL363" s="17"/>
    </row>
    <row r="364" ht="15" customHeight="1" spans="38:38">
      <c r="AL364" s="17"/>
    </row>
    <row r="365" ht="15" customHeight="1" spans="38:38">
      <c r="AL365" s="17"/>
    </row>
    <row r="366" ht="15" customHeight="1" spans="38:38">
      <c r="AL366" s="17"/>
    </row>
    <row r="367" ht="15" customHeight="1" spans="38:38">
      <c r="AL367" s="17"/>
    </row>
    <row r="368" ht="15" customHeight="1" spans="38:38">
      <c r="AL368" s="17"/>
    </row>
    <row r="369" ht="15" customHeight="1" spans="38:38">
      <c r="AL369" s="17"/>
    </row>
    <row r="370" ht="15" customHeight="1" spans="38:38">
      <c r="AL370" s="17"/>
    </row>
    <row r="371" ht="15" customHeight="1" spans="38:38">
      <c r="AL371" s="17"/>
    </row>
    <row r="372" ht="15" customHeight="1" spans="38:38">
      <c r="AL372" s="17"/>
    </row>
    <row r="373" ht="15" customHeight="1" spans="38:38">
      <c r="AL373" s="17"/>
    </row>
    <row r="374" ht="15" customHeight="1" spans="38:38">
      <c r="AL374" s="17"/>
    </row>
    <row r="375" ht="15" customHeight="1" spans="38:38">
      <c r="AL375" s="17"/>
    </row>
    <row r="376" ht="15" customHeight="1" spans="38:38">
      <c r="AL376" s="17"/>
    </row>
    <row r="377" ht="15" customHeight="1" spans="38:38">
      <c r="AL377" s="17"/>
    </row>
    <row r="378" ht="15" customHeight="1" spans="38:38">
      <c r="AL378" s="17"/>
    </row>
    <row r="379" ht="15" customHeight="1" spans="38:38">
      <c r="AL379" s="17"/>
    </row>
    <row r="380" ht="15" customHeight="1" spans="38:38">
      <c r="AL380" s="17"/>
    </row>
    <row r="381" ht="15" customHeight="1" spans="38:38">
      <c r="AL381" s="17"/>
    </row>
    <row r="382" ht="15" customHeight="1" spans="38:38">
      <c r="AL382" s="17"/>
    </row>
    <row r="383" ht="15" customHeight="1" spans="38:38">
      <c r="AL383" s="17"/>
    </row>
    <row r="384" ht="15" customHeight="1" spans="38:38">
      <c r="AL384" s="17"/>
    </row>
    <row r="385" ht="15" customHeight="1" spans="38:38">
      <c r="AL385" s="17"/>
    </row>
    <row r="386" ht="15" customHeight="1" spans="38:38">
      <c r="AL386" s="17"/>
    </row>
    <row r="387" ht="15" customHeight="1" spans="38:38">
      <c r="AL387" s="17"/>
    </row>
    <row r="388" ht="15" customHeight="1" spans="38:38">
      <c r="AL388" s="17"/>
    </row>
    <row r="389" ht="15" customHeight="1" spans="38:38">
      <c r="AL389" s="17"/>
    </row>
    <row r="390" ht="15" customHeight="1" spans="38:38">
      <c r="AL390" s="17"/>
    </row>
    <row r="391" ht="15" customHeight="1" spans="38:38">
      <c r="AL391" s="17"/>
    </row>
    <row r="392" ht="15" customHeight="1" spans="38:38">
      <c r="AL392" s="17"/>
    </row>
    <row r="393" ht="15" customHeight="1" spans="38:38">
      <c r="AL393" s="17"/>
    </row>
    <row r="394" ht="15" customHeight="1" spans="38:38">
      <c r="AL394" s="17"/>
    </row>
    <row r="395" ht="15" customHeight="1" spans="38:38">
      <c r="AL395" s="17"/>
    </row>
    <row r="396" ht="15" customHeight="1" spans="38:38">
      <c r="AL396" s="17"/>
    </row>
    <row r="397" ht="15" customHeight="1" spans="38:38">
      <c r="AL397" s="17"/>
    </row>
    <row r="398" ht="15" customHeight="1" spans="38:38">
      <c r="AL398" s="17"/>
    </row>
    <row r="399" ht="15" customHeight="1" spans="38:38">
      <c r="AL399" s="17"/>
    </row>
    <row r="400" ht="15" customHeight="1" spans="38:38">
      <c r="AL400" s="17"/>
    </row>
    <row r="401" ht="15" customHeight="1" spans="38:38">
      <c r="AL401" s="17"/>
    </row>
    <row r="402" ht="15" customHeight="1" spans="38:38">
      <c r="AL402" s="17"/>
    </row>
    <row r="403" ht="15" customHeight="1" spans="38:38">
      <c r="AL403" s="17"/>
    </row>
    <row r="404" ht="15" customHeight="1" spans="38:38">
      <c r="AL404" s="17"/>
    </row>
    <row r="405" ht="15" customHeight="1" spans="38:38">
      <c r="AL405" s="17"/>
    </row>
    <row r="406" ht="15" customHeight="1" spans="38:38">
      <c r="AL406" s="17"/>
    </row>
    <row r="407" ht="15" customHeight="1" spans="38:38">
      <c r="AL407" s="17"/>
    </row>
    <row r="408" ht="15" customHeight="1" spans="38:38">
      <c r="AL408" s="17"/>
    </row>
    <row r="409" ht="15" customHeight="1" spans="38:38">
      <c r="AL409" s="17"/>
    </row>
    <row r="410" ht="15" customHeight="1" spans="38:38">
      <c r="AL410" s="17"/>
    </row>
    <row r="411" ht="15" customHeight="1" spans="38:38">
      <c r="AL411" s="17"/>
    </row>
    <row r="412" ht="15" customHeight="1" spans="38:38">
      <c r="AL412" s="17"/>
    </row>
    <row r="413" ht="15" customHeight="1" spans="38:38">
      <c r="AL413" s="17"/>
    </row>
    <row r="414" ht="15" customHeight="1" spans="38:38">
      <c r="AL414" s="17"/>
    </row>
    <row r="415" ht="15" customHeight="1" spans="38:38">
      <c r="AL415" s="17"/>
    </row>
    <row r="416" ht="15" customHeight="1" spans="38:38">
      <c r="AL416" s="17"/>
    </row>
    <row r="417" ht="15" customHeight="1" spans="38:38">
      <c r="AL417" s="17"/>
    </row>
    <row r="418" ht="15" customHeight="1" spans="38:38">
      <c r="AL418" s="17"/>
    </row>
    <row r="419" ht="15" customHeight="1" spans="38:38">
      <c r="AL419" s="17"/>
    </row>
    <row r="420" ht="15" customHeight="1" spans="38:38">
      <c r="AL420" s="17"/>
    </row>
    <row r="421" ht="15" customHeight="1" spans="38:38">
      <c r="AL421" s="17"/>
    </row>
    <row r="422" ht="15" customHeight="1" spans="38:38">
      <c r="AL422" s="17"/>
    </row>
    <row r="423" ht="15" customHeight="1" spans="38:38">
      <c r="AL423" s="17"/>
    </row>
    <row r="424" ht="15" customHeight="1" spans="38:38">
      <c r="AL424" s="17"/>
    </row>
    <row r="425" ht="15" customHeight="1" spans="38:38">
      <c r="AL425" s="17"/>
    </row>
    <row r="426" ht="15" customHeight="1" spans="38:38">
      <c r="AL426" s="17"/>
    </row>
    <row r="427" ht="15" customHeight="1" spans="38:38">
      <c r="AL427" s="17"/>
    </row>
    <row r="428" ht="15" customHeight="1" spans="38:38">
      <c r="AL428" s="17"/>
    </row>
    <row r="429" ht="15" customHeight="1" spans="38:38">
      <c r="AL429" s="17"/>
    </row>
    <row r="430" ht="15" customHeight="1" spans="38:38">
      <c r="AL430" s="17"/>
    </row>
    <row r="431" ht="15" customHeight="1" spans="38:38">
      <c r="AL431" s="17"/>
    </row>
    <row r="432" ht="15" customHeight="1" spans="38:38">
      <c r="AL432" s="17"/>
    </row>
    <row r="433" ht="15" customHeight="1" spans="38:38">
      <c r="AL433" s="17"/>
    </row>
    <row r="434" ht="15" customHeight="1" spans="38:38">
      <c r="AL434" s="17"/>
    </row>
    <row r="435" ht="15" customHeight="1" spans="38:38">
      <c r="AL435" s="17"/>
    </row>
    <row r="436" ht="15" customHeight="1" spans="38:38">
      <c r="AL436" s="17"/>
    </row>
    <row r="437" ht="15" customHeight="1" spans="38:38">
      <c r="AL437" s="17"/>
    </row>
    <row r="438" ht="15" customHeight="1" spans="38:38">
      <c r="AL438" s="17"/>
    </row>
    <row r="439" ht="15" customHeight="1" spans="38:38">
      <c r="AL439" s="17"/>
    </row>
    <row r="440" ht="15" customHeight="1" spans="38:38">
      <c r="AL440" s="17"/>
    </row>
    <row r="441" ht="15" customHeight="1" spans="38:38">
      <c r="AL441" s="17"/>
    </row>
    <row r="442" ht="15" customHeight="1" spans="38:38">
      <c r="AL442" s="17"/>
    </row>
    <row r="443" ht="15" customHeight="1" spans="38:38">
      <c r="AL443" s="17"/>
    </row>
    <row r="444" ht="15" customHeight="1" spans="38:38">
      <c r="AL444" s="17"/>
    </row>
    <row r="445" ht="15" customHeight="1" spans="38:38">
      <c r="AL445" s="17"/>
    </row>
    <row r="446" ht="15" customHeight="1" spans="38:38">
      <c r="AL446" s="17"/>
    </row>
    <row r="447" ht="15" customHeight="1" spans="38:38">
      <c r="AL447" s="17"/>
    </row>
    <row r="448" ht="15" customHeight="1" spans="38:38">
      <c r="AL448" s="17"/>
    </row>
    <row r="449" ht="15" customHeight="1" spans="38:38">
      <c r="AL449" s="17"/>
    </row>
    <row r="450" ht="15" customHeight="1" spans="38:38">
      <c r="AL450" s="17"/>
    </row>
    <row r="451" ht="15" customHeight="1" spans="38:38">
      <c r="AL451" s="17"/>
    </row>
    <row r="452" ht="15" customHeight="1" spans="38:38">
      <c r="AL452" s="17"/>
    </row>
    <row r="453" ht="15" customHeight="1" spans="38:38">
      <c r="AL453" s="17"/>
    </row>
    <row r="454" ht="15" customHeight="1" spans="38:38">
      <c r="AL454" s="17"/>
    </row>
    <row r="455" ht="15" customHeight="1" spans="38:38">
      <c r="AL455" s="17"/>
    </row>
    <row r="456" ht="15" customHeight="1" spans="38:38">
      <c r="AL456" s="17"/>
    </row>
    <row r="457" ht="15" customHeight="1" spans="38:38">
      <c r="AL457" s="17"/>
    </row>
    <row r="458" ht="15" customHeight="1" spans="38:38">
      <c r="AL458" s="17"/>
    </row>
    <row r="459" ht="15" customHeight="1" spans="38:38">
      <c r="AL459" s="17"/>
    </row>
    <row r="460" ht="15" customHeight="1" spans="38:38">
      <c r="AL460" s="17"/>
    </row>
    <row r="461" ht="15" customHeight="1" spans="38:38">
      <c r="AL461" s="17"/>
    </row>
    <row r="462" ht="15" customHeight="1" spans="38:38">
      <c r="AL462" s="17"/>
    </row>
    <row r="463" ht="15" customHeight="1" spans="38:38">
      <c r="AL463" s="17"/>
    </row>
    <row r="464" ht="15" customHeight="1" spans="38:38">
      <c r="AL464" s="17"/>
    </row>
    <row r="465" ht="15" customHeight="1" spans="38:38">
      <c r="AL465" s="17"/>
    </row>
    <row r="466" ht="15" customHeight="1" spans="38:38">
      <c r="AL466" s="17"/>
    </row>
    <row r="467" ht="15" customHeight="1" spans="38:38">
      <c r="AL467" s="17"/>
    </row>
    <row r="468" ht="15" customHeight="1" spans="38:38">
      <c r="AL468" s="17"/>
    </row>
    <row r="469" ht="15" customHeight="1" spans="38:38">
      <c r="AL469" s="17"/>
    </row>
    <row r="470" ht="15" customHeight="1" spans="38:38">
      <c r="AL470" s="17"/>
    </row>
    <row r="471" ht="15" customHeight="1" spans="38:38">
      <c r="AL471" s="17"/>
    </row>
    <row r="472" ht="15" customHeight="1" spans="38:38">
      <c r="AL472" s="17"/>
    </row>
    <row r="473" ht="15" customHeight="1" spans="38:38">
      <c r="AL473" s="17"/>
    </row>
    <row r="474" ht="15" customHeight="1" spans="38:38">
      <c r="AL474" s="17"/>
    </row>
    <row r="475" ht="15" customHeight="1" spans="38:38">
      <c r="AL475" s="17"/>
    </row>
    <row r="476" ht="15" customHeight="1" spans="38:38">
      <c r="AL476" s="17"/>
    </row>
    <row r="477" ht="15" customHeight="1" spans="38:38">
      <c r="AL477" s="17"/>
    </row>
    <row r="478" ht="15" customHeight="1" spans="38:38">
      <c r="AL478" s="17"/>
    </row>
    <row r="479" ht="15" customHeight="1" spans="38:38">
      <c r="AL479" s="17"/>
    </row>
    <row r="480" ht="15" customHeight="1" spans="38:38">
      <c r="AL480" s="17"/>
    </row>
    <row r="481" ht="15" customHeight="1" spans="38:38">
      <c r="AL481" s="17"/>
    </row>
    <row r="482" ht="15" customHeight="1" spans="38:38">
      <c r="AL482" s="17"/>
    </row>
    <row r="483" ht="15" customHeight="1" spans="38:38">
      <c r="AL483" s="17"/>
    </row>
    <row r="484" ht="15" customHeight="1" spans="38:38">
      <c r="AL484" s="17"/>
    </row>
    <row r="485" ht="15" customHeight="1" spans="38:38">
      <c r="AL485" s="17"/>
    </row>
    <row r="486" ht="15" customHeight="1" spans="38:38">
      <c r="AL486" s="17"/>
    </row>
    <row r="487" ht="15" customHeight="1" spans="38:38">
      <c r="AL487" s="17"/>
    </row>
    <row r="488" ht="15" customHeight="1" spans="38:38">
      <c r="AL488" s="17"/>
    </row>
    <row r="489" ht="15" customHeight="1" spans="38:38">
      <c r="AL489" s="17"/>
    </row>
    <row r="490" ht="15" customHeight="1" spans="38:38">
      <c r="AL490" s="17"/>
    </row>
    <row r="491" ht="15" customHeight="1" spans="38:38">
      <c r="AL491" s="17"/>
    </row>
    <row r="492" ht="15" customHeight="1" spans="38:38">
      <c r="AL492" s="17"/>
    </row>
    <row r="493" ht="15" customHeight="1" spans="38:38">
      <c r="AL493" s="17"/>
    </row>
    <row r="494" ht="15" customHeight="1" spans="38:38">
      <c r="AL494" s="17"/>
    </row>
    <row r="495" ht="15" customHeight="1" spans="38:38">
      <c r="AL495" s="17"/>
    </row>
    <row r="496" ht="15" customHeight="1" spans="38:38">
      <c r="AL496" s="17"/>
    </row>
    <row r="497" ht="15" customHeight="1" spans="38:38">
      <c r="AL497" s="17"/>
    </row>
    <row r="498" ht="15" customHeight="1" spans="38:38">
      <c r="AL498" s="17"/>
    </row>
    <row r="499" ht="15" customHeight="1" spans="38:38">
      <c r="AL499" s="17"/>
    </row>
    <row r="500" ht="15" customHeight="1" spans="38:38">
      <c r="AL500" s="17"/>
    </row>
  </sheetData>
  <dataValidations count="5">
    <dataValidation type="list" allowBlank="1" sqref="B5:B500">
      <formula1>"1,2,3"</formula1>
    </dataValidation>
    <dataValidation type="list" allowBlank="1" sqref="D5:D500">
      <formula1>"choice,fill,step"</formula1>
    </dataValidation>
    <dataValidation type="list" allowBlank="1" sqref="E5:E500 S5:S500">
      <formula1>"TRUE,FALSE"</formula1>
    </dataValidation>
    <dataValidation type="list" allowBlank="1" sqref="Z5:Z500">
      <formula1>"L1,L2,L3,L4"</formula1>
    </dataValidation>
    <dataValidation type="list" allowBlank="1" sqref="AL5:AL500">
      <formula1>"待审,通过,返修"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showGridLines="0" workbookViewId="0">
      <selection activeCell="A1" sqref="A1"/>
    </sheetView>
  </sheetViews>
  <sheetFormatPr defaultColWidth="8.68181818181818" defaultRowHeight="14.5" outlineLevelCol="4"/>
  <cols>
    <col min="1" max="1" width="2" customWidth="1"/>
    <col min="2" max="2" width="16" customWidth="1"/>
    <col min="3" max="3" width="30" customWidth="1"/>
    <col min="4" max="4" width="16" customWidth="1"/>
    <col min="5" max="5" width="46" customWidth="1"/>
  </cols>
  <sheetData>
    <row r="2" ht="31.5" customHeight="1" spans="2:5">
      <c r="B2" s="1" t="s">
        <v>590</v>
      </c>
    </row>
    <row r="3" ht="15" customHeight="1" spans="2:5">
      <c r="B3" s="10" t="s">
        <v>591</v>
      </c>
    </row>
    <row r="5" ht="15" customHeight="1" spans="2:5">
      <c r="B5" s="7" t="s">
        <v>99</v>
      </c>
      <c r="C5" s="7" t="s">
        <v>592</v>
      </c>
      <c r="D5" s="7" t="s">
        <v>593</v>
      </c>
      <c r="E5" s="7" t="s">
        <v>594</v>
      </c>
    </row>
    <row r="6" ht="15" customHeight="1" spans="2:5">
      <c r="B6" s="11" t="s">
        <v>123</v>
      </c>
      <c r="C6" s="12" t="s">
        <v>595</v>
      </c>
      <c r="D6" s="12" t="s">
        <v>596</v>
      </c>
      <c r="E6" s="11"/>
    </row>
    <row r="7" ht="15" customHeight="1" spans="2:5">
      <c r="B7" s="6" t="s">
        <v>271</v>
      </c>
      <c r="C7" s="5" t="s">
        <v>597</v>
      </c>
      <c r="D7" s="5" t="s">
        <v>596</v>
      </c>
      <c r="E7" s="6" t="s">
        <v>598</v>
      </c>
    </row>
    <row r="8" ht="15" customHeight="1" spans="2:5">
      <c r="B8" s="11" t="s">
        <v>285</v>
      </c>
      <c r="C8" s="12" t="s">
        <v>599</v>
      </c>
      <c r="D8" s="12" t="s">
        <v>596</v>
      </c>
      <c r="E8" s="11" t="s">
        <v>271</v>
      </c>
    </row>
    <row r="9" ht="15" customHeight="1" spans="2:5">
      <c r="B9" s="6" t="s">
        <v>137</v>
      </c>
      <c r="C9" s="5" t="s">
        <v>600</v>
      </c>
      <c r="D9" s="5" t="s">
        <v>596</v>
      </c>
      <c r="E9" s="6" t="s">
        <v>601</v>
      </c>
    </row>
    <row r="10" ht="15" customHeight="1" spans="2:5">
      <c r="B10" s="11" t="s">
        <v>151</v>
      </c>
      <c r="C10" s="12" t="s">
        <v>602</v>
      </c>
      <c r="D10" s="12" t="s">
        <v>596</v>
      </c>
      <c r="E10" s="11" t="s">
        <v>321</v>
      </c>
    </row>
    <row r="11" ht="15" customHeight="1" spans="2:5">
      <c r="B11" s="6" t="s">
        <v>434</v>
      </c>
      <c r="C11" s="5" t="s">
        <v>603</v>
      </c>
      <c r="D11" s="5" t="s">
        <v>596</v>
      </c>
      <c r="E11" s="6" t="s">
        <v>151</v>
      </c>
    </row>
    <row r="12" ht="15" customHeight="1" spans="2:5">
      <c r="B12" s="11" t="s">
        <v>457</v>
      </c>
      <c r="C12" s="12" t="s">
        <v>604</v>
      </c>
      <c r="D12" s="12" t="s">
        <v>596</v>
      </c>
      <c r="E12" s="11" t="s">
        <v>605</v>
      </c>
    </row>
    <row r="13" ht="15" customHeight="1" spans="2:5">
      <c r="B13" s="6" t="s">
        <v>150</v>
      </c>
      <c r="C13" s="5" t="s">
        <v>606</v>
      </c>
      <c r="D13" s="5" t="s">
        <v>596</v>
      </c>
      <c r="E13" s="6" t="s">
        <v>457</v>
      </c>
    </row>
    <row r="14" ht="15" customHeight="1" spans="2:5">
      <c r="B14" s="11" t="s">
        <v>598</v>
      </c>
      <c r="C14" s="12" t="s">
        <v>607</v>
      </c>
      <c r="D14" s="12" t="s">
        <v>596</v>
      </c>
      <c r="E14" s="11"/>
    </row>
    <row r="15" ht="15" customHeight="1" spans="2:5">
      <c r="B15" s="6" t="s">
        <v>608</v>
      </c>
      <c r="C15" s="5" t="s">
        <v>609</v>
      </c>
      <c r="D15" s="5" t="s">
        <v>596</v>
      </c>
      <c r="E15" s="6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8"/>
  <sheetViews>
    <sheetView showGridLines="0" workbookViewId="0">
      <selection activeCell="A1" sqref="A1"/>
    </sheetView>
  </sheetViews>
  <sheetFormatPr defaultColWidth="8.68181818181818" defaultRowHeight="14.5" outlineLevelRow="7"/>
  <cols>
    <col min="1" max="1" width="2" customWidth="1"/>
    <col min="2" max="2" width="10" customWidth="1"/>
    <col min="3" max="3" width="16" customWidth="1"/>
    <col min="4" max="4" width="44" customWidth="1"/>
    <col min="5" max="6" width="30" customWidth="1"/>
    <col min="7" max="7" width="36" customWidth="1"/>
    <col min="8" max="8" width="14" customWidth="1"/>
    <col min="9" max="9" width="10" customWidth="1"/>
  </cols>
  <sheetData>
    <row r="2" ht="31.5" customHeight="1" spans="2:9">
      <c r="B2" s="1" t="s">
        <v>610</v>
      </c>
    </row>
    <row r="3" ht="15" customHeight="1" spans="2:9">
      <c r="B3" s="2" t="s">
        <v>611</v>
      </c>
    </row>
    <row r="5" ht="15" customHeight="1" spans="2:9">
      <c r="B5" s="7" t="s">
        <v>612</v>
      </c>
      <c r="C5" s="7" t="s">
        <v>613</v>
      </c>
      <c r="D5" s="7" t="s">
        <v>614</v>
      </c>
      <c r="E5" s="7" t="s">
        <v>615</v>
      </c>
      <c r="F5" s="7" t="s">
        <v>616</v>
      </c>
      <c r="G5" s="7" t="s">
        <v>617</v>
      </c>
      <c r="H5" s="7" t="s">
        <v>618</v>
      </c>
      <c r="I5" s="7" t="s">
        <v>619</v>
      </c>
    </row>
    <row r="6" ht="15" customHeight="1" spans="2:9">
      <c r="B6" s="8" t="s">
        <v>116</v>
      </c>
      <c r="C6" s="9" t="s">
        <v>620</v>
      </c>
      <c r="D6" s="9" t="s">
        <v>621</v>
      </c>
      <c r="E6" s="8" t="s">
        <v>622</v>
      </c>
      <c r="F6" s="9" t="s">
        <v>623</v>
      </c>
      <c r="G6" s="8" t="s">
        <v>624</v>
      </c>
      <c r="H6" s="9" t="s">
        <v>625</v>
      </c>
      <c r="I6" s="8" t="s">
        <v>626</v>
      </c>
    </row>
    <row r="7" ht="15" customHeight="1" spans="2:9">
      <c r="B7" s="8" t="s">
        <v>226</v>
      </c>
      <c r="C7" s="9" t="s">
        <v>627</v>
      </c>
      <c r="D7" s="9" t="s">
        <v>628</v>
      </c>
      <c r="E7" s="8" t="s">
        <v>629</v>
      </c>
      <c r="F7" s="9" t="s">
        <v>630</v>
      </c>
      <c r="G7" s="8" t="s">
        <v>631</v>
      </c>
      <c r="H7" s="9" t="s">
        <v>625</v>
      </c>
      <c r="I7" s="8" t="s">
        <v>626</v>
      </c>
    </row>
    <row r="8" ht="15" customHeight="1" spans="2:9">
      <c r="B8" s="8" t="s">
        <v>413</v>
      </c>
      <c r="C8" s="9" t="s">
        <v>632</v>
      </c>
      <c r="D8" s="9" t="s">
        <v>633</v>
      </c>
      <c r="E8" s="8" t="s">
        <v>634</v>
      </c>
      <c r="F8" s="9" t="s">
        <v>635</v>
      </c>
      <c r="G8" s="8" t="s">
        <v>636</v>
      </c>
      <c r="H8" s="9" t="s">
        <v>625</v>
      </c>
      <c r="I8" s="8" t="s">
        <v>626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4"/>
  <sheetViews>
    <sheetView showGridLines="0" workbookViewId="0">
      <selection activeCell="A1" sqref="A1"/>
    </sheetView>
  </sheetViews>
  <sheetFormatPr defaultColWidth="8.68181818181818" defaultRowHeight="14.5" outlineLevelCol="4"/>
  <cols>
    <col min="1" max="1" width="2" customWidth="1"/>
    <col min="2" max="2" width="26" customWidth="1"/>
    <col min="3" max="3" width="64" customWidth="1"/>
    <col min="4" max="5" width="12" customWidth="1"/>
  </cols>
  <sheetData>
    <row r="2" ht="31.5" customHeight="1" spans="2:5">
      <c r="B2" s="1" t="s">
        <v>637</v>
      </c>
    </row>
    <row r="3" ht="15" customHeight="1" spans="2:5">
      <c r="B3" s="2" t="s">
        <v>638</v>
      </c>
    </row>
    <row r="5" ht="15" customHeight="1" spans="2:5">
      <c r="B5" s="3" t="s">
        <v>639</v>
      </c>
    </row>
    <row r="6" ht="15" customHeight="1" spans="2:5">
      <c r="B6" s="4" t="s">
        <v>640</v>
      </c>
      <c r="C6" s="4" t="s">
        <v>641</v>
      </c>
      <c r="D6" s="4" t="s">
        <v>642</v>
      </c>
      <c r="E6" s="4" t="s">
        <v>643</v>
      </c>
    </row>
    <row r="7" ht="15" customHeight="1" spans="2:5">
      <c r="C7" s="5" t="s">
        <v>644</v>
      </c>
      <c r="D7" s="6"/>
      <c r="E7" s="6"/>
    </row>
    <row r="8" ht="15" customHeight="1" spans="2:5">
      <c r="C8" s="5" t="s">
        <v>645</v>
      </c>
      <c r="D8" s="6"/>
      <c r="E8" s="6"/>
    </row>
    <row r="9" ht="15" customHeight="1" spans="2:5">
      <c r="C9" s="5" t="s">
        <v>646</v>
      </c>
      <c r="D9" s="6"/>
      <c r="E9" s="6"/>
    </row>
    <row r="10" ht="15" customHeight="1" spans="2:5">
      <c r="C10" s="5" t="s">
        <v>647</v>
      </c>
      <c r="D10" s="6"/>
      <c r="E10" s="6"/>
    </row>
    <row r="11" ht="15" customHeight="1" spans="2:5">
      <c r="C11" s="5" t="s">
        <v>648</v>
      </c>
      <c r="D11" s="6"/>
      <c r="E11" s="6"/>
    </row>
    <row r="12" ht="15" customHeight="1" spans="2:5">
      <c r="C12" s="5" t="s">
        <v>649</v>
      </c>
      <c r="D12" s="6"/>
      <c r="E12" s="6"/>
    </row>
    <row r="13" ht="15" customHeight="1" spans="2:5">
      <c r="C13" s="5" t="s">
        <v>650</v>
      </c>
      <c r="D13" s="6"/>
      <c r="E13" s="6"/>
    </row>
    <row r="14" ht="15" customHeight="1" spans="2:5">
      <c r="C14" s="5" t="s">
        <v>651</v>
      </c>
      <c r="D14" s="6"/>
      <c r="E14" s="6"/>
    </row>
    <row r="16" ht="15" customHeight="1" spans="2:5">
      <c r="B16" s="3" t="s">
        <v>652</v>
      </c>
    </row>
    <row r="17" ht="15" customHeight="1" spans="2:5">
      <c r="B17" s="4" t="s">
        <v>640</v>
      </c>
      <c r="C17" s="4" t="s">
        <v>641</v>
      </c>
      <c r="D17" s="4" t="s">
        <v>642</v>
      </c>
      <c r="E17" s="4" t="s">
        <v>643</v>
      </c>
    </row>
    <row r="18" ht="15" customHeight="1" spans="2:5">
      <c r="C18" s="5" t="s">
        <v>653</v>
      </c>
      <c r="D18" s="6"/>
      <c r="E18" s="6"/>
    </row>
    <row r="19" ht="15" customHeight="1" spans="2:5">
      <c r="C19" s="5" t="s">
        <v>654</v>
      </c>
      <c r="D19" s="6"/>
      <c r="E19" s="6"/>
    </row>
    <row r="20" ht="15" customHeight="1" spans="2:5">
      <c r="C20" s="5" t="s">
        <v>655</v>
      </c>
      <c r="D20" s="6"/>
      <c r="E20" s="6"/>
    </row>
    <row r="21" ht="15" customHeight="1" spans="2:5">
      <c r="C21" s="5" t="s">
        <v>656</v>
      </c>
      <c r="D21" s="6"/>
      <c r="E21" s="6"/>
    </row>
    <row r="22" ht="15" customHeight="1" spans="2:5">
      <c r="C22" s="5" t="s">
        <v>657</v>
      </c>
      <c r="D22" s="6"/>
      <c r="E22" s="6"/>
    </row>
    <row r="23" ht="15" customHeight="1" spans="2:5">
      <c r="C23" s="5" t="s">
        <v>658</v>
      </c>
      <c r="D23" s="6"/>
      <c r="E23" s="6"/>
    </row>
    <row r="25" ht="15" customHeight="1" spans="2:5">
      <c r="B25" s="3" t="s">
        <v>659</v>
      </c>
    </row>
    <row r="26" ht="15" customHeight="1" spans="2:5">
      <c r="B26" s="4" t="s">
        <v>640</v>
      </c>
      <c r="C26" s="4" t="s">
        <v>641</v>
      </c>
      <c r="D26" s="4" t="s">
        <v>642</v>
      </c>
      <c r="E26" s="4" t="s">
        <v>643</v>
      </c>
    </row>
    <row r="27" ht="15" customHeight="1" spans="2:5">
      <c r="C27" s="6" t="s">
        <v>660</v>
      </c>
      <c r="D27" s="6"/>
      <c r="E27" s="6"/>
    </row>
    <row r="28" ht="15" customHeight="1" spans="2:5">
      <c r="C28" s="6" t="s">
        <v>661</v>
      </c>
      <c r="D28" s="6"/>
      <c r="E28" s="6"/>
    </row>
    <row r="29" ht="15" customHeight="1" spans="2:5">
      <c r="C29" s="6" t="s">
        <v>662</v>
      </c>
      <c r="D29" s="6"/>
      <c r="E29" s="6"/>
    </row>
    <row r="30" ht="15" customHeight="1" spans="2:5">
      <c r="C30" s="6" t="s">
        <v>663</v>
      </c>
      <c r="D30" s="6"/>
      <c r="E30" s="6"/>
    </row>
    <row r="31" ht="15" customHeight="1" spans="2:5">
      <c r="C31" s="6" t="s">
        <v>664</v>
      </c>
      <c r="D31" s="6"/>
      <c r="E31" s="6"/>
    </row>
    <row r="32" ht="15" customHeight="1" spans="2:5">
      <c r="C32" s="5" t="s">
        <v>665</v>
      </c>
      <c r="D32" s="6"/>
      <c r="E32" s="6"/>
    </row>
    <row r="33" ht="15" customHeight="1" spans="3:5">
      <c r="C33" s="6" t="s">
        <v>666</v>
      </c>
      <c r="D33" s="6"/>
      <c r="E33" s="6"/>
    </row>
    <row r="34" ht="15" customHeight="1" spans="3:5">
      <c r="C34" s="5" t="s">
        <v>667</v>
      </c>
      <c r="D34" s="6"/>
      <c r="E34" s="6"/>
    </row>
  </sheetData>
  <mergeCells count="3">
    <mergeCell ref="B5:E5"/>
    <mergeCell ref="B16:E16"/>
    <mergeCell ref="B25:E2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填报说明</vt:lpstr>
      <vt:lpstr>题目录入表</vt:lpstr>
      <vt:lpstr>考点依赖表</vt:lpstr>
      <vt:lpstr>方法卡</vt:lpstr>
      <vt:lpstr>质检清单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z0294</cp:lastModifiedBy>
  <cp:revision>0</cp:revision>
  <dcterms:created xsi:type="dcterms:W3CDTF">2026-08-10T07:30:00Z</dcterms:created>
  <dcterms:modified xsi:type="dcterms:W3CDTF">2026-08-10T11:07:11Z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5F9BD9FD180B40EC808A07DA7984A2E9_12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